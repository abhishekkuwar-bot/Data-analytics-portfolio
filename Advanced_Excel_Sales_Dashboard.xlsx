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usin\Downloads\"/>
    </mc:Choice>
  </mc:AlternateContent>
  <xr:revisionPtr revIDLastSave="0" documentId="13_ncr:1_{0FF644A3-76E5-4DB8-8FD8-874C4570AC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Lookup" sheetId="2" r:id="rId2"/>
    <sheet name="Analysis" sheetId="3" r:id="rId3"/>
    <sheet name="Dashboard" sheetId="4" r:id="rId4"/>
  </sheets>
  <definedNames>
    <definedName name="_xlnm._FilterDatabase" localSheetId="0" hidden="1">Raw_Data!$A$1:$J$401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4" l="1"/>
  <c r="C38" i="4"/>
  <c r="C37" i="4"/>
  <c r="C36" i="4"/>
  <c r="C35" i="4"/>
  <c r="C34" i="4"/>
  <c r="C33" i="4"/>
  <c r="C32" i="4"/>
  <c r="C31" i="4"/>
  <c r="C30" i="4"/>
  <c r="C29" i="4"/>
  <c r="C28" i="4"/>
  <c r="H6" i="4"/>
  <c r="F6" i="4"/>
  <c r="D6" i="4"/>
  <c r="B6" i="4"/>
  <c r="C28" i="3"/>
  <c r="B28" i="3"/>
  <c r="C27" i="3"/>
  <c r="B27" i="3"/>
  <c r="C26" i="3"/>
  <c r="B26" i="3"/>
  <c r="C25" i="3"/>
  <c r="B25" i="3"/>
  <c r="C24" i="3"/>
  <c r="B24" i="3"/>
  <c r="C23" i="3"/>
  <c r="B23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</calcChain>
</file>

<file path=xl/sharedStrings.xml><?xml version="1.0" encoding="utf-8"?>
<sst xmlns="http://schemas.openxmlformats.org/spreadsheetml/2006/main" count="1711" uniqueCount="67">
  <si>
    <t>Order_ID</t>
  </si>
  <si>
    <t>Order_Date</t>
  </si>
  <si>
    <t>State</t>
  </si>
  <si>
    <t>Region</t>
  </si>
  <si>
    <t>Product</t>
  </si>
  <si>
    <t>Category</t>
  </si>
  <si>
    <t>Quantity</t>
  </si>
  <si>
    <t>Unit_Price</t>
  </si>
  <si>
    <t>Discount</t>
  </si>
  <si>
    <t>Revenue</t>
  </si>
  <si>
    <t>Rajasthan</t>
  </si>
  <si>
    <t>North</t>
  </si>
  <si>
    <t>Keyboard</t>
  </si>
  <si>
    <t>Accessories</t>
  </si>
  <si>
    <t>Monitor</t>
  </si>
  <si>
    <t>Computing</t>
  </si>
  <si>
    <t>Uttar Pradesh</t>
  </si>
  <si>
    <t>Printer</t>
  </si>
  <si>
    <t>Office</t>
  </si>
  <si>
    <t>West Bengal</t>
  </si>
  <si>
    <t>East</t>
  </si>
  <si>
    <t>Karnataka</t>
  </si>
  <si>
    <t>South</t>
  </si>
  <si>
    <t>Laptop</t>
  </si>
  <si>
    <t>Andhra Pradesh</t>
  </si>
  <si>
    <t>Software</t>
  </si>
  <si>
    <t>Delhi</t>
  </si>
  <si>
    <t>Gujarat</t>
  </si>
  <si>
    <t>West</t>
  </si>
  <si>
    <t>Mouse</t>
  </si>
  <si>
    <t>Telangana</t>
  </si>
  <si>
    <t>Kerala</t>
  </si>
  <si>
    <t>Bihar</t>
  </si>
  <si>
    <t>Goa</t>
  </si>
  <si>
    <t>Maharashtra</t>
  </si>
  <si>
    <t>Tamil Nadu</t>
  </si>
  <si>
    <t>Odisha</t>
  </si>
  <si>
    <t>Punjab</t>
  </si>
  <si>
    <t>Haryana</t>
  </si>
  <si>
    <t>ADVANCED EXCEL SALES DASHBOARD</t>
  </si>
  <si>
    <t>Total Revenue</t>
  </si>
  <si>
    <t>Total Quantity</t>
  </si>
  <si>
    <t>Orders</t>
  </si>
  <si>
    <t>Avg Order Value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</si>
  <si>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</si>
  <si>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</si>
  <si>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</si>
  <si>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</si>
  <si>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</si>
  <si>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</si>
  <si>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</si>
  <si>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</si>
  <si>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</si>
  <si>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</si>
  <si>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</si>
  <si>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</si>
  <si>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</si>
  <si>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Manager</t>
  </si>
  <si>
    <t>Amit</t>
  </si>
  <si>
    <t>Neha</t>
  </si>
  <si>
    <t>Ravi</t>
  </si>
  <si>
    <t>Priya</t>
  </si>
  <si>
    <t>Sanjay</t>
  </si>
  <si>
    <t>Anita</t>
  </si>
  <si>
    <t>Advanced Excel Sales Analysis</t>
  </si>
  <si>
    <t>Region (VLOOKUP)</t>
  </si>
  <si>
    <t>Manager (INDEX-MATCH)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</si>
</sst>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m\-yyyy"/>
    <numFmt numFmtId="165" formatCode="\₹#,##0"/>
  </numFmts>
  <fonts count="6" x14ac:knownFonts="1"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8"/>
      <name val="Calibri"/>
    </font>
    <font>
      <b/>
      <sz val="22"/>
      <color rgb="FFFFFFFF"/>
      <name val="Calibri"/>
    </font>
    <font>
      <b/>
      <sz val="1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9" fontId="2" fillId="0" borderId="0" xfId="0" applyNumberFormat="1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165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0" borderId="0" xfId="0" applyFont="1" applyAlignment="1"/>
    <xf numFmtId="0" fontId="0" fillId="0" borderId="0" xfId="0">
      <alignment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B22E156-5DDA-4CEE-A78E-7FE55A39F3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Revenue by State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Analysis!$A$4:$A$19</c:f>
              <c:strCache>
                <c:ptCount val="16"/>
                <c:pt idx="0">
                  <c:v>Bihar</c:v>
                </c:pt>
                <c:pt idx="1">
                  <c:v>West Bengal</c:v>
                </c:pt>
                <c:pt idx="2">
                  <c:v>Odisha</c:v>
                </c:pt>
                <c:pt idx="3">
                  <c:v>Delhi</c:v>
                </c:pt>
                <c:pt idx="4">
                  <c:v>Punjab</c:v>
                </c:pt>
                <c:pt idx="5">
                  <c:v>Haryana</c:v>
                </c:pt>
                <c:pt idx="6">
                  <c:v>Rajasthan</c:v>
                </c:pt>
                <c:pt idx="7">
                  <c:v>Uttar Pradesh</c:v>
                </c:pt>
                <c:pt idx="8">
                  <c:v>Maharashtra</c:v>
                </c:pt>
                <c:pt idx="9">
                  <c:v>Gujarat</c:v>
                </c:pt>
                <c:pt idx="10">
                  <c:v>Goa</c:v>
                </c:pt>
                <c:pt idx="11">
                  <c:v>Karnataka</c:v>
                </c:pt>
                <c:pt idx="12">
                  <c:v>Tamil Nadu</c:v>
                </c:pt>
                <c:pt idx="13">
                  <c:v>Kerala</c:v>
                </c:pt>
                <c:pt idx="14">
                  <c:v>Telangana</c:v>
                </c:pt>
                <c:pt idx="15">
                  <c:v>Andhra Pradesh</c:v>
                </c:pt>
              </c:strCache>
            </c:strRef>
          </c:cat>
          <c:val>
            <c:numRef>
              <c:f>Analysis!$B$4:$B$19</c:f>
              <c:numCache>
                <c:formatCode>\₹#,##0</c:formatCode>
                <c:ptCount val="16"/>
                <c:pt idx="0">
                  <c:v>2272636.4300000006</c:v>
                </c:pt>
                <c:pt idx="1">
                  <c:v>1428648.9400000002</c:v>
                </c:pt>
                <c:pt idx="2">
                  <c:v>1446192.31</c:v>
                </c:pt>
                <c:pt idx="3">
                  <c:v>2550155.79</c:v>
                </c:pt>
                <c:pt idx="4">
                  <c:v>1504764.33</c:v>
                </c:pt>
                <c:pt idx="5">
                  <c:v>1860235.0500000003</c:v>
                </c:pt>
                <c:pt idx="6">
                  <c:v>2359918.2099999995</c:v>
                </c:pt>
                <c:pt idx="7">
                  <c:v>2060248.6199999996</c:v>
                </c:pt>
                <c:pt idx="8">
                  <c:v>2841717.4500000007</c:v>
                </c:pt>
                <c:pt idx="9">
                  <c:v>2758932.3000000003</c:v>
                </c:pt>
                <c:pt idx="10">
                  <c:v>1393088.2200000002</c:v>
                </c:pt>
                <c:pt idx="11">
                  <c:v>1312458.3800000004</c:v>
                </c:pt>
                <c:pt idx="12">
                  <c:v>2222604.0299999998</c:v>
                </c:pt>
                <c:pt idx="13">
                  <c:v>1542718.7000000004</c:v>
                </c:pt>
                <c:pt idx="14">
                  <c:v>2058204.94</c:v>
                </c:pt>
                <c:pt idx="15">
                  <c:v>1788427.2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F-4FCB-A6C1-142B33DF0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Revenue by Product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Analysis!$B$22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Analysis!$A$23:$A$28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  <c:pt idx="5">
                  <c:v>Software</c:v>
                </c:pt>
              </c:strCache>
            </c:strRef>
          </c:cat>
          <c:val>
            <c:numRef>
              <c:f>Analysis!$B$23:$B$28</c:f>
              <c:numCache>
                <c:formatCode>\₹#,##0</c:formatCode>
                <c:ptCount val="6"/>
                <c:pt idx="0">
                  <c:v>19278403.589999992</c:v>
                </c:pt>
                <c:pt idx="1">
                  <c:v>5909901.2100000018</c:v>
                </c:pt>
                <c:pt idx="2">
                  <c:v>3405102.2099999995</c:v>
                </c:pt>
                <c:pt idx="3">
                  <c:v>553330.28</c:v>
                </c:pt>
                <c:pt idx="4">
                  <c:v>183431.45</c:v>
                </c:pt>
                <c:pt idx="5">
                  <c:v>2070782.1600000004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B-489B-B62D-6BDD4E7EB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Dashboard!$C$27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Dashboard!$B$28:$B$39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Dashboard!$C$28:$C$39</c:f>
              <c:numCache>
                <c:formatCode>\₹#,##0</c:formatCode>
                <c:ptCount val="12"/>
                <c:pt idx="0">
                  <c:v>2416363.3700000006</c:v>
                </c:pt>
                <c:pt idx="1">
                  <c:v>2594511.7500000005</c:v>
                </c:pt>
                <c:pt idx="2">
                  <c:v>3040190.1199999992</c:v>
                </c:pt>
                <c:pt idx="3">
                  <c:v>3522156.6599999997</c:v>
                </c:pt>
                <c:pt idx="4">
                  <c:v>1721383.1500000001</c:v>
                </c:pt>
                <c:pt idx="5">
                  <c:v>2391905.0700000003</c:v>
                </c:pt>
                <c:pt idx="6">
                  <c:v>2026784.5599999998</c:v>
                </c:pt>
                <c:pt idx="7">
                  <c:v>4094533.24</c:v>
                </c:pt>
                <c:pt idx="8">
                  <c:v>1223899.1800000002</c:v>
                </c:pt>
                <c:pt idx="9">
                  <c:v>3013759.2199999997</c:v>
                </c:pt>
                <c:pt idx="10">
                  <c:v>2009199.7799999998</c:v>
                </c:pt>
                <c:pt idx="11">
                  <c:v>3346264.8000000003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09-4C56-9AA1-64D85715D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</xdr:col>
      <xdr:colOff>313228</xdr:colOff>
      <xdr:row>23</xdr:row>
      <xdr:rowOff>22324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12</xdr:col>
      <xdr:colOff>326145</xdr:colOff>
      <xdr:row>23</xdr:row>
      <xdr:rowOff>22324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13</xdr:col>
      <xdr:colOff>313228</xdr:colOff>
      <xdr:row>39</xdr:row>
      <xdr:rowOff>43160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401">
  <autoFilter ref="A1:J401" xr:uid="{00000000-0009-0000-0100-000001000000}"/>
  <tableColumns count="10">
    <tableColumn id="1" xr3:uid="{00000000-0010-0000-0000-000001000000}" name="Order_ID"/>
    <tableColumn id="2" xr3:uid="{00000000-0010-0000-0000-000002000000}" name="Order_Date"/>
    <tableColumn id="3" xr3:uid="{00000000-0010-0000-0000-000003000000}" name="State"/>
    <tableColumn id="4" xr3:uid="{00000000-0010-0000-0000-000004000000}" name="Region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Discount"/>
    <tableColumn id="10" xr3:uid="{00000000-0010-0000-0000-00000A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>
      <pane ySplit="1" topLeftCell="A2" activePane="bottomLeft" state="frozen"/>
      <selection pane="bottomLeft"/>
    </sheetView>
  </sheetViews>
  <sheetFormatPr defaultColWidth="10" defaultRowHeight="14.5" x14ac:dyDescent="0.35"/>
  <cols>
    <col min="1" max="1" width="10" customWidth="1"/>
    <col min="2" max="2" width="14" customWidth="1"/>
    <col min="3" max="3" width="20" customWidth="1"/>
    <col min="4" max="4" width="12" customWidth="1"/>
    <col min="5" max="5" width="14" customWidth="1"/>
    <col min="6" max="6" width="16" customWidth="1"/>
    <col min="7" max="7" width="10" customWidth="1"/>
    <col min="8" max="8" width="13" customWidth="1"/>
    <col min="9" max="9" width="11" customWidth="1"/>
    <col min="10" max="10" width="1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s="2">
        <v>45678</v>
      </c>
      <c r="C2" t="s">
        <v>10</v>
      </c>
      <c r="D2" t="s">
        <v>11</v>
      </c>
      <c r="E2" t="s">
        <v>12</v>
      </c>
      <c r="F2" t="s">
        <v>13</v>
      </c>
      <c r="G2">
        <v>5</v>
      </c>
      <c r="H2" s="3">
        <v>1920.83</v>
      </c>
      <c r="I2" s="4">
        <v>0</v>
      </c>
      <c r="J2" s="3">
        <v>9604.1299999999992</v>
      </c>
    </row>
    <row r="3" spans="1:10" x14ac:dyDescent="0.35">
      <c r="A3">
        <v>2</v>
      </c>
      <c r="B3" s="2">
        <v>45757</v>
      </c>
      <c r="C3" t="s">
        <v>10</v>
      </c>
      <c r="D3" t="s">
        <v>11</v>
      </c>
      <c r="E3" t="s">
        <v>14</v>
      </c>
      <c r="F3" t="s">
        <v>15</v>
      </c>
      <c r="G3">
        <v>3</v>
      </c>
      <c r="H3" s="3">
        <v>17823.96</v>
      </c>
      <c r="I3" s="4">
        <v>0</v>
      </c>
      <c r="J3" s="3">
        <v>53471.87</v>
      </c>
    </row>
    <row r="4" spans="1:10" x14ac:dyDescent="0.35">
      <c r="A4">
        <v>3</v>
      </c>
      <c r="B4" s="2">
        <v>45951</v>
      </c>
      <c r="C4" t="s">
        <v>16</v>
      </c>
      <c r="D4" t="s">
        <v>11</v>
      </c>
      <c r="E4" t="s">
        <v>17</v>
      </c>
      <c r="F4" t="s">
        <v>18</v>
      </c>
      <c r="G4">
        <v>6</v>
      </c>
      <c r="H4" s="3">
        <v>12639.36</v>
      </c>
      <c r="I4" s="4">
        <v>0</v>
      </c>
      <c r="J4" s="3">
        <v>75836.14</v>
      </c>
    </row>
    <row r="5" spans="1:10" x14ac:dyDescent="0.35">
      <c r="A5">
        <v>4</v>
      </c>
      <c r="B5" s="2">
        <v>45910</v>
      </c>
      <c r="C5" t="s">
        <v>19</v>
      </c>
      <c r="D5" t="s">
        <v>20</v>
      </c>
      <c r="E5" t="s">
        <v>12</v>
      </c>
      <c r="F5" t="s">
        <v>13</v>
      </c>
      <c r="G5">
        <v>5</v>
      </c>
      <c r="H5" s="3">
        <v>1848.23</v>
      </c>
      <c r="I5" s="4">
        <v>0.05</v>
      </c>
      <c r="J5" s="3">
        <v>8779.11</v>
      </c>
    </row>
    <row r="6" spans="1:10" x14ac:dyDescent="0.35">
      <c r="A6">
        <v>5</v>
      </c>
      <c r="B6" s="2">
        <v>45845</v>
      </c>
      <c r="C6" t="s">
        <v>21</v>
      </c>
      <c r="D6" t="s">
        <v>22</v>
      </c>
      <c r="E6" t="s">
        <v>23</v>
      </c>
      <c r="F6" t="s">
        <v>15</v>
      </c>
      <c r="G6">
        <v>1</v>
      </c>
      <c r="H6" s="3">
        <v>63437.83</v>
      </c>
      <c r="I6" s="4">
        <v>0.05</v>
      </c>
      <c r="J6" s="3">
        <v>60265.94</v>
      </c>
    </row>
    <row r="7" spans="1:10" x14ac:dyDescent="0.35">
      <c r="A7">
        <v>6</v>
      </c>
      <c r="B7" s="2">
        <v>45712</v>
      </c>
      <c r="C7" t="s">
        <v>24</v>
      </c>
      <c r="D7" t="s">
        <v>22</v>
      </c>
      <c r="E7" t="s">
        <v>25</v>
      </c>
      <c r="F7" t="s">
        <v>25</v>
      </c>
      <c r="G7">
        <v>6</v>
      </c>
      <c r="H7" s="3">
        <v>6959.41</v>
      </c>
      <c r="I7" s="4">
        <v>0.08</v>
      </c>
      <c r="J7" s="3">
        <v>38415.96</v>
      </c>
    </row>
    <row r="8" spans="1:10" x14ac:dyDescent="0.35">
      <c r="A8">
        <v>7</v>
      </c>
      <c r="B8" s="2">
        <v>45986</v>
      </c>
      <c r="C8" t="s">
        <v>26</v>
      </c>
      <c r="D8" t="s">
        <v>11</v>
      </c>
      <c r="E8" t="s">
        <v>23</v>
      </c>
      <c r="F8" t="s">
        <v>15</v>
      </c>
      <c r="G8">
        <v>3</v>
      </c>
      <c r="H8" s="3">
        <v>67812.800000000003</v>
      </c>
      <c r="I8" s="4">
        <v>0.08</v>
      </c>
      <c r="J8" s="3">
        <v>187163.32</v>
      </c>
    </row>
    <row r="9" spans="1:10" x14ac:dyDescent="0.35">
      <c r="A9">
        <v>8</v>
      </c>
      <c r="B9" s="2">
        <v>45922</v>
      </c>
      <c r="C9" t="s">
        <v>10</v>
      </c>
      <c r="D9" t="s">
        <v>11</v>
      </c>
      <c r="E9" t="s">
        <v>14</v>
      </c>
      <c r="F9" t="s">
        <v>15</v>
      </c>
      <c r="G9">
        <v>4</v>
      </c>
      <c r="H9" s="3">
        <v>18273.41</v>
      </c>
      <c r="I9" s="4">
        <v>0.1</v>
      </c>
      <c r="J9" s="3">
        <v>65784.259999999995</v>
      </c>
    </row>
    <row r="10" spans="1:10" x14ac:dyDescent="0.35">
      <c r="A10">
        <v>9</v>
      </c>
      <c r="B10" s="2">
        <v>45921</v>
      </c>
      <c r="C10" t="s">
        <v>27</v>
      </c>
      <c r="D10" t="s">
        <v>28</v>
      </c>
      <c r="E10" t="s">
        <v>29</v>
      </c>
      <c r="F10" t="s">
        <v>13</v>
      </c>
      <c r="G10">
        <v>2</v>
      </c>
      <c r="H10" s="3">
        <v>887.07</v>
      </c>
      <c r="I10" s="4">
        <v>0.05</v>
      </c>
      <c r="J10" s="3">
        <v>1685.44</v>
      </c>
    </row>
    <row r="11" spans="1:10" x14ac:dyDescent="0.35">
      <c r="A11">
        <v>10</v>
      </c>
      <c r="B11" s="2">
        <v>45659</v>
      </c>
      <c r="C11" t="s">
        <v>30</v>
      </c>
      <c r="D11" t="s">
        <v>22</v>
      </c>
      <c r="E11" t="s">
        <v>17</v>
      </c>
      <c r="F11" t="s">
        <v>18</v>
      </c>
      <c r="G11">
        <v>6</v>
      </c>
      <c r="H11" s="3">
        <v>11084.84</v>
      </c>
      <c r="I11" s="4">
        <v>0.03</v>
      </c>
      <c r="J11" s="3">
        <v>64513.77</v>
      </c>
    </row>
    <row r="12" spans="1:10" x14ac:dyDescent="0.35">
      <c r="A12">
        <v>11</v>
      </c>
      <c r="B12" s="2">
        <v>45848</v>
      </c>
      <c r="C12" t="s">
        <v>31</v>
      </c>
      <c r="D12" t="s">
        <v>22</v>
      </c>
      <c r="E12" t="s">
        <v>25</v>
      </c>
      <c r="F12" t="s">
        <v>25</v>
      </c>
      <c r="G12">
        <v>6</v>
      </c>
      <c r="H12" s="3">
        <v>6932.74</v>
      </c>
      <c r="I12" s="4">
        <v>0.05</v>
      </c>
      <c r="J12" s="3">
        <v>39516.61</v>
      </c>
    </row>
    <row r="13" spans="1:10" x14ac:dyDescent="0.35">
      <c r="A13">
        <v>12</v>
      </c>
      <c r="B13" s="2">
        <v>45927</v>
      </c>
      <c r="C13" t="s">
        <v>19</v>
      </c>
      <c r="D13" t="s">
        <v>20</v>
      </c>
      <c r="E13" t="s">
        <v>14</v>
      </c>
      <c r="F13" t="s">
        <v>15</v>
      </c>
      <c r="G13">
        <v>4</v>
      </c>
      <c r="H13" s="3">
        <v>19705.650000000001</v>
      </c>
      <c r="I13" s="4">
        <v>0.1</v>
      </c>
      <c r="J13" s="3">
        <v>70940.350000000006</v>
      </c>
    </row>
    <row r="14" spans="1:10" x14ac:dyDescent="0.35">
      <c r="A14">
        <v>13</v>
      </c>
      <c r="B14" s="2">
        <v>45870</v>
      </c>
      <c r="C14" t="s">
        <v>30</v>
      </c>
      <c r="D14" t="s">
        <v>22</v>
      </c>
      <c r="E14" t="s">
        <v>25</v>
      </c>
      <c r="F14" t="s">
        <v>25</v>
      </c>
      <c r="G14">
        <v>7</v>
      </c>
      <c r="H14" s="3">
        <v>8330.11</v>
      </c>
      <c r="I14" s="4">
        <v>0.05</v>
      </c>
      <c r="J14" s="3">
        <v>55395.23</v>
      </c>
    </row>
    <row r="15" spans="1:10" x14ac:dyDescent="0.35">
      <c r="A15">
        <v>14</v>
      </c>
      <c r="B15" s="2">
        <v>45874</v>
      </c>
      <c r="C15" t="s">
        <v>24</v>
      </c>
      <c r="D15" t="s">
        <v>22</v>
      </c>
      <c r="E15" t="s">
        <v>29</v>
      </c>
      <c r="F15" t="s">
        <v>13</v>
      </c>
      <c r="G15">
        <v>2</v>
      </c>
      <c r="H15" s="3">
        <v>918.74</v>
      </c>
      <c r="I15" s="4">
        <v>0.05</v>
      </c>
      <c r="J15" s="3">
        <v>1745.6</v>
      </c>
    </row>
    <row r="16" spans="1:10" x14ac:dyDescent="0.35">
      <c r="A16">
        <v>15</v>
      </c>
      <c r="B16" s="2">
        <v>45958</v>
      </c>
      <c r="C16" t="s">
        <v>21</v>
      </c>
      <c r="D16" t="s">
        <v>22</v>
      </c>
      <c r="E16" t="s">
        <v>12</v>
      </c>
      <c r="F16" t="s">
        <v>13</v>
      </c>
      <c r="G16">
        <v>4</v>
      </c>
      <c r="H16" s="3">
        <v>1711.99</v>
      </c>
      <c r="I16" s="4">
        <v>0.03</v>
      </c>
      <c r="J16" s="3">
        <v>6642.52</v>
      </c>
    </row>
    <row r="17" spans="1:10" x14ac:dyDescent="0.35">
      <c r="A17">
        <v>16</v>
      </c>
      <c r="B17" s="2">
        <v>45793</v>
      </c>
      <c r="C17" t="s">
        <v>32</v>
      </c>
      <c r="D17" t="s">
        <v>20</v>
      </c>
      <c r="E17" t="s">
        <v>23</v>
      </c>
      <c r="F17" t="s">
        <v>15</v>
      </c>
      <c r="G17">
        <v>7</v>
      </c>
      <c r="H17" s="3">
        <v>63360.15</v>
      </c>
      <c r="I17" s="4">
        <v>0.05</v>
      </c>
      <c r="J17" s="3">
        <v>421345.01</v>
      </c>
    </row>
    <row r="18" spans="1:10" x14ac:dyDescent="0.35">
      <c r="A18">
        <v>17</v>
      </c>
      <c r="B18" s="2">
        <v>45946</v>
      </c>
      <c r="C18" t="s">
        <v>16</v>
      </c>
      <c r="D18" t="s">
        <v>11</v>
      </c>
      <c r="E18" t="s">
        <v>17</v>
      </c>
      <c r="F18" t="s">
        <v>18</v>
      </c>
      <c r="G18">
        <v>3</v>
      </c>
      <c r="H18" s="3">
        <v>12659.54</v>
      </c>
      <c r="I18" s="4">
        <v>0.08</v>
      </c>
      <c r="J18" s="3">
        <v>34940.33</v>
      </c>
    </row>
    <row r="19" spans="1:10" x14ac:dyDescent="0.35">
      <c r="A19">
        <v>18</v>
      </c>
      <c r="B19" s="2">
        <v>45792</v>
      </c>
      <c r="C19" t="s">
        <v>33</v>
      </c>
      <c r="D19" t="s">
        <v>28</v>
      </c>
      <c r="E19" t="s">
        <v>29</v>
      </c>
      <c r="F19" t="s">
        <v>13</v>
      </c>
      <c r="G19">
        <v>2</v>
      </c>
      <c r="H19" s="3">
        <v>817.03</v>
      </c>
      <c r="I19" s="4">
        <v>0.03</v>
      </c>
      <c r="J19" s="3">
        <v>1585.03</v>
      </c>
    </row>
    <row r="20" spans="1:10" x14ac:dyDescent="0.35">
      <c r="A20">
        <v>19</v>
      </c>
      <c r="B20" s="2">
        <v>45719</v>
      </c>
      <c r="C20" t="s">
        <v>34</v>
      </c>
      <c r="D20" t="s">
        <v>28</v>
      </c>
      <c r="E20" t="s">
        <v>12</v>
      </c>
      <c r="F20" t="s">
        <v>13</v>
      </c>
      <c r="G20">
        <v>2</v>
      </c>
      <c r="H20" s="3">
        <v>1744.19</v>
      </c>
      <c r="I20" s="4">
        <v>0</v>
      </c>
      <c r="J20" s="3">
        <v>3488.39</v>
      </c>
    </row>
    <row r="21" spans="1:10" x14ac:dyDescent="0.35">
      <c r="A21">
        <v>20</v>
      </c>
      <c r="B21" s="2">
        <v>45692</v>
      </c>
      <c r="C21" t="s">
        <v>16</v>
      </c>
      <c r="D21" t="s">
        <v>11</v>
      </c>
      <c r="E21" t="s">
        <v>29</v>
      </c>
      <c r="F21" t="s">
        <v>13</v>
      </c>
      <c r="G21">
        <v>3</v>
      </c>
      <c r="H21" s="3">
        <v>851.34</v>
      </c>
      <c r="I21" s="4">
        <v>0.05</v>
      </c>
      <c r="J21" s="3">
        <v>2426.3200000000002</v>
      </c>
    </row>
    <row r="22" spans="1:10" x14ac:dyDescent="0.35">
      <c r="A22">
        <v>21</v>
      </c>
      <c r="B22" s="2">
        <v>45662</v>
      </c>
      <c r="C22" t="s">
        <v>32</v>
      </c>
      <c r="D22" t="s">
        <v>20</v>
      </c>
      <c r="E22" t="s">
        <v>17</v>
      </c>
      <c r="F22" t="s">
        <v>18</v>
      </c>
      <c r="G22">
        <v>5</v>
      </c>
      <c r="H22" s="3">
        <v>13004.87</v>
      </c>
      <c r="I22" s="4">
        <v>0.1</v>
      </c>
      <c r="J22" s="3">
        <v>58521.919999999998</v>
      </c>
    </row>
    <row r="23" spans="1:10" x14ac:dyDescent="0.35">
      <c r="A23">
        <v>22</v>
      </c>
      <c r="B23" s="2">
        <v>46003</v>
      </c>
      <c r="C23" t="s">
        <v>27</v>
      </c>
      <c r="D23" t="s">
        <v>28</v>
      </c>
      <c r="E23" t="s">
        <v>25</v>
      </c>
      <c r="F23" t="s">
        <v>25</v>
      </c>
      <c r="G23">
        <v>7</v>
      </c>
      <c r="H23" s="3">
        <v>7879.19</v>
      </c>
      <c r="I23" s="4">
        <v>0</v>
      </c>
      <c r="J23" s="3">
        <v>55154.35</v>
      </c>
    </row>
    <row r="24" spans="1:10" x14ac:dyDescent="0.35">
      <c r="A24">
        <v>23</v>
      </c>
      <c r="B24" s="2">
        <v>45898</v>
      </c>
      <c r="C24" t="s">
        <v>27</v>
      </c>
      <c r="D24" t="s">
        <v>28</v>
      </c>
      <c r="E24" t="s">
        <v>12</v>
      </c>
      <c r="F24" t="s">
        <v>13</v>
      </c>
      <c r="G24">
        <v>5</v>
      </c>
      <c r="H24" s="3">
        <v>1970.97</v>
      </c>
      <c r="I24" s="4">
        <v>0.03</v>
      </c>
      <c r="J24" s="3">
        <v>9559.2000000000007</v>
      </c>
    </row>
    <row r="25" spans="1:10" x14ac:dyDescent="0.35">
      <c r="A25">
        <v>24</v>
      </c>
      <c r="B25" s="2">
        <v>45888</v>
      </c>
      <c r="C25" t="s">
        <v>26</v>
      </c>
      <c r="D25" t="s">
        <v>11</v>
      </c>
      <c r="E25" t="s">
        <v>29</v>
      </c>
      <c r="F25" t="s">
        <v>13</v>
      </c>
      <c r="G25">
        <v>8</v>
      </c>
      <c r="H25" s="3">
        <v>822.1</v>
      </c>
      <c r="I25" s="4">
        <v>0.05</v>
      </c>
      <c r="J25" s="3">
        <v>6247.93</v>
      </c>
    </row>
    <row r="26" spans="1:10" x14ac:dyDescent="0.35">
      <c r="A26">
        <v>25</v>
      </c>
      <c r="B26" s="2">
        <v>45844</v>
      </c>
      <c r="C26" t="s">
        <v>35</v>
      </c>
      <c r="D26" t="s">
        <v>22</v>
      </c>
      <c r="E26" t="s">
        <v>17</v>
      </c>
      <c r="F26" t="s">
        <v>18</v>
      </c>
      <c r="G26">
        <v>5</v>
      </c>
      <c r="H26" s="3">
        <v>10781.7</v>
      </c>
      <c r="I26" s="4">
        <v>0.03</v>
      </c>
      <c r="J26" s="3">
        <v>52291.26</v>
      </c>
    </row>
    <row r="27" spans="1:10" x14ac:dyDescent="0.35">
      <c r="A27">
        <v>26</v>
      </c>
      <c r="B27" s="2">
        <v>45791</v>
      </c>
      <c r="C27" t="s">
        <v>36</v>
      </c>
      <c r="D27" t="s">
        <v>20</v>
      </c>
      <c r="E27" t="s">
        <v>25</v>
      </c>
      <c r="F27" t="s">
        <v>25</v>
      </c>
      <c r="G27">
        <v>4</v>
      </c>
      <c r="H27" s="3">
        <v>8054.62</v>
      </c>
      <c r="I27" s="4">
        <v>0.1</v>
      </c>
      <c r="J27" s="3">
        <v>28996.62</v>
      </c>
    </row>
    <row r="28" spans="1:10" x14ac:dyDescent="0.35">
      <c r="A28">
        <v>27</v>
      </c>
      <c r="B28" s="2">
        <v>45988</v>
      </c>
      <c r="C28" t="s">
        <v>21</v>
      </c>
      <c r="D28" t="s">
        <v>22</v>
      </c>
      <c r="E28" t="s">
        <v>12</v>
      </c>
      <c r="F28" t="s">
        <v>13</v>
      </c>
      <c r="G28">
        <v>4</v>
      </c>
      <c r="H28" s="3">
        <v>1969.59</v>
      </c>
      <c r="I28" s="4">
        <v>0</v>
      </c>
      <c r="J28" s="3">
        <v>7878.34</v>
      </c>
    </row>
    <row r="29" spans="1:10" x14ac:dyDescent="0.35">
      <c r="A29">
        <v>28</v>
      </c>
      <c r="B29" s="2">
        <v>45882</v>
      </c>
      <c r="C29" t="s">
        <v>24</v>
      </c>
      <c r="D29" t="s">
        <v>22</v>
      </c>
      <c r="E29" t="s">
        <v>14</v>
      </c>
      <c r="F29" t="s">
        <v>15</v>
      </c>
      <c r="G29">
        <v>7</v>
      </c>
      <c r="H29" s="3">
        <v>17213.78</v>
      </c>
      <c r="I29" s="4">
        <v>0.08</v>
      </c>
      <c r="J29" s="3">
        <v>110856.71</v>
      </c>
    </row>
    <row r="30" spans="1:10" x14ac:dyDescent="0.35">
      <c r="A30">
        <v>29</v>
      </c>
      <c r="B30" s="2">
        <v>45890</v>
      </c>
      <c r="C30" t="s">
        <v>32</v>
      </c>
      <c r="D30" t="s">
        <v>20</v>
      </c>
      <c r="E30" t="s">
        <v>23</v>
      </c>
      <c r="F30" t="s">
        <v>15</v>
      </c>
      <c r="G30">
        <v>3</v>
      </c>
      <c r="H30" s="3">
        <v>69961.03</v>
      </c>
      <c r="I30" s="4">
        <v>0.05</v>
      </c>
      <c r="J30" s="3">
        <v>199388.94</v>
      </c>
    </row>
    <row r="31" spans="1:10" x14ac:dyDescent="0.35">
      <c r="A31">
        <v>30</v>
      </c>
      <c r="B31" s="2">
        <v>45882</v>
      </c>
      <c r="C31" t="s">
        <v>36</v>
      </c>
      <c r="D31" t="s">
        <v>20</v>
      </c>
      <c r="E31" t="s">
        <v>25</v>
      </c>
      <c r="F31" t="s">
        <v>25</v>
      </c>
      <c r="G31">
        <v>8</v>
      </c>
      <c r="H31" s="3">
        <v>7472.69</v>
      </c>
      <c r="I31" s="4">
        <v>0.05</v>
      </c>
      <c r="J31" s="3">
        <v>56792.47</v>
      </c>
    </row>
    <row r="32" spans="1:10" x14ac:dyDescent="0.35">
      <c r="A32">
        <v>31</v>
      </c>
      <c r="B32" s="2">
        <v>45817</v>
      </c>
      <c r="C32" t="s">
        <v>36</v>
      </c>
      <c r="D32" t="s">
        <v>20</v>
      </c>
      <c r="E32" t="s">
        <v>14</v>
      </c>
      <c r="F32" t="s">
        <v>15</v>
      </c>
      <c r="G32">
        <v>4</v>
      </c>
      <c r="H32" s="3">
        <v>16567.02</v>
      </c>
      <c r="I32" s="4">
        <v>0.03</v>
      </c>
      <c r="J32" s="3">
        <v>64280.03</v>
      </c>
    </row>
    <row r="33" spans="1:10" x14ac:dyDescent="0.35">
      <c r="A33">
        <v>32</v>
      </c>
      <c r="B33" s="2">
        <v>45709</v>
      </c>
      <c r="C33" t="s">
        <v>24</v>
      </c>
      <c r="D33" t="s">
        <v>22</v>
      </c>
      <c r="E33" t="s">
        <v>23</v>
      </c>
      <c r="F33" t="s">
        <v>15</v>
      </c>
      <c r="G33">
        <v>4</v>
      </c>
      <c r="H33" s="3">
        <v>72359.8</v>
      </c>
      <c r="I33" s="4">
        <v>0.03</v>
      </c>
      <c r="J33" s="3">
        <v>280756.03000000003</v>
      </c>
    </row>
    <row r="34" spans="1:10" x14ac:dyDescent="0.35">
      <c r="A34">
        <v>33</v>
      </c>
      <c r="B34" s="2">
        <v>45770</v>
      </c>
      <c r="C34" t="s">
        <v>21</v>
      </c>
      <c r="D34" t="s">
        <v>22</v>
      </c>
      <c r="E34" t="s">
        <v>25</v>
      </c>
      <c r="F34" t="s">
        <v>25</v>
      </c>
      <c r="G34">
        <v>7</v>
      </c>
      <c r="H34" s="3">
        <v>7141.58</v>
      </c>
      <c r="I34" s="4">
        <v>0.05</v>
      </c>
      <c r="J34" s="3">
        <v>47491.51</v>
      </c>
    </row>
    <row r="35" spans="1:10" x14ac:dyDescent="0.35">
      <c r="A35">
        <v>34</v>
      </c>
      <c r="B35" s="2">
        <v>45711</v>
      </c>
      <c r="C35" t="s">
        <v>16</v>
      </c>
      <c r="D35" t="s">
        <v>11</v>
      </c>
      <c r="E35" t="s">
        <v>23</v>
      </c>
      <c r="F35" t="s">
        <v>15</v>
      </c>
      <c r="G35">
        <v>3</v>
      </c>
      <c r="H35" s="3">
        <v>65041.79</v>
      </c>
      <c r="I35" s="4">
        <v>0.05</v>
      </c>
      <c r="J35" s="3">
        <v>185369.11</v>
      </c>
    </row>
    <row r="36" spans="1:10" x14ac:dyDescent="0.35">
      <c r="A36">
        <v>35</v>
      </c>
      <c r="B36" s="2">
        <v>45787</v>
      </c>
      <c r="C36" t="s">
        <v>10</v>
      </c>
      <c r="D36" t="s">
        <v>11</v>
      </c>
      <c r="E36" t="s">
        <v>29</v>
      </c>
      <c r="F36" t="s">
        <v>13</v>
      </c>
      <c r="G36">
        <v>8</v>
      </c>
      <c r="H36" s="3">
        <v>843.75</v>
      </c>
      <c r="I36" s="4">
        <v>0.1</v>
      </c>
      <c r="J36" s="3">
        <v>6074.97</v>
      </c>
    </row>
    <row r="37" spans="1:10" x14ac:dyDescent="0.35">
      <c r="A37">
        <v>36</v>
      </c>
      <c r="B37" s="2">
        <v>45981</v>
      </c>
      <c r="C37" t="s">
        <v>37</v>
      </c>
      <c r="D37" t="s">
        <v>11</v>
      </c>
      <c r="E37" t="s">
        <v>12</v>
      </c>
      <c r="F37" t="s">
        <v>13</v>
      </c>
      <c r="G37">
        <v>2</v>
      </c>
      <c r="H37" s="3">
        <v>1688.57</v>
      </c>
      <c r="I37" s="4">
        <v>0.1</v>
      </c>
      <c r="J37" s="3">
        <v>3039.42</v>
      </c>
    </row>
    <row r="38" spans="1:10" x14ac:dyDescent="0.35">
      <c r="A38">
        <v>37</v>
      </c>
      <c r="B38" s="2">
        <v>45937</v>
      </c>
      <c r="C38" t="s">
        <v>10</v>
      </c>
      <c r="D38" t="s">
        <v>11</v>
      </c>
      <c r="E38" t="s">
        <v>17</v>
      </c>
      <c r="F38" t="s">
        <v>18</v>
      </c>
      <c r="G38">
        <v>8</v>
      </c>
      <c r="H38" s="3">
        <v>12657.26</v>
      </c>
      <c r="I38" s="4">
        <v>0.03</v>
      </c>
      <c r="J38" s="3">
        <v>98220.36</v>
      </c>
    </row>
    <row r="39" spans="1:10" x14ac:dyDescent="0.35">
      <c r="A39">
        <v>38</v>
      </c>
      <c r="B39" s="2">
        <v>45897</v>
      </c>
      <c r="C39" t="s">
        <v>37</v>
      </c>
      <c r="D39" t="s">
        <v>11</v>
      </c>
      <c r="E39" t="s">
        <v>12</v>
      </c>
      <c r="F39" t="s">
        <v>13</v>
      </c>
      <c r="G39">
        <v>2</v>
      </c>
      <c r="H39" s="3">
        <v>1815.45</v>
      </c>
      <c r="I39" s="4">
        <v>0.05</v>
      </c>
      <c r="J39" s="3">
        <v>3449.36</v>
      </c>
    </row>
    <row r="40" spans="1:10" x14ac:dyDescent="0.35">
      <c r="A40">
        <v>39</v>
      </c>
      <c r="B40" s="2">
        <v>46006</v>
      </c>
      <c r="C40" t="s">
        <v>24</v>
      </c>
      <c r="D40" t="s">
        <v>22</v>
      </c>
      <c r="E40" t="s">
        <v>23</v>
      </c>
      <c r="F40" t="s">
        <v>15</v>
      </c>
      <c r="G40">
        <v>1</v>
      </c>
      <c r="H40" s="3">
        <v>60109.69</v>
      </c>
      <c r="I40" s="4">
        <v>0.03</v>
      </c>
      <c r="J40" s="3">
        <v>58306.400000000001</v>
      </c>
    </row>
    <row r="41" spans="1:10" x14ac:dyDescent="0.35">
      <c r="A41">
        <v>40</v>
      </c>
      <c r="B41" s="2">
        <v>45804</v>
      </c>
      <c r="C41" t="s">
        <v>36</v>
      </c>
      <c r="D41" t="s">
        <v>20</v>
      </c>
      <c r="E41" t="s">
        <v>12</v>
      </c>
      <c r="F41" t="s">
        <v>13</v>
      </c>
      <c r="G41">
        <v>4</v>
      </c>
      <c r="H41" s="3">
        <v>1591.17</v>
      </c>
      <c r="I41" s="4">
        <v>0.05</v>
      </c>
      <c r="J41" s="3">
        <v>6046.43</v>
      </c>
    </row>
    <row r="42" spans="1:10" x14ac:dyDescent="0.35">
      <c r="A42">
        <v>41</v>
      </c>
      <c r="B42" s="2">
        <v>45995</v>
      </c>
      <c r="C42" t="s">
        <v>26</v>
      </c>
      <c r="D42" t="s">
        <v>11</v>
      </c>
      <c r="E42" t="s">
        <v>12</v>
      </c>
      <c r="F42" t="s">
        <v>13</v>
      </c>
      <c r="G42">
        <v>1</v>
      </c>
      <c r="H42" s="3">
        <v>1751.07</v>
      </c>
      <c r="I42" s="4">
        <v>0.05</v>
      </c>
      <c r="J42" s="3">
        <v>1663.52</v>
      </c>
    </row>
    <row r="43" spans="1:10" x14ac:dyDescent="0.35">
      <c r="A43">
        <v>42</v>
      </c>
      <c r="B43" s="2">
        <v>45808</v>
      </c>
      <c r="C43" t="s">
        <v>16</v>
      </c>
      <c r="D43" t="s">
        <v>11</v>
      </c>
      <c r="E43" t="s">
        <v>23</v>
      </c>
      <c r="F43" t="s">
        <v>15</v>
      </c>
      <c r="G43">
        <v>3</v>
      </c>
      <c r="H43" s="3">
        <v>58970.19</v>
      </c>
      <c r="I43" s="4">
        <v>0.03</v>
      </c>
      <c r="J43" s="3">
        <v>171603.24</v>
      </c>
    </row>
    <row r="44" spans="1:10" x14ac:dyDescent="0.35">
      <c r="A44">
        <v>43</v>
      </c>
      <c r="B44" s="2">
        <v>46003</v>
      </c>
      <c r="C44" t="s">
        <v>30</v>
      </c>
      <c r="D44" t="s">
        <v>22</v>
      </c>
      <c r="E44" t="s">
        <v>25</v>
      </c>
      <c r="F44" t="s">
        <v>25</v>
      </c>
      <c r="G44">
        <v>2</v>
      </c>
      <c r="H44" s="3">
        <v>7787.97</v>
      </c>
      <c r="I44" s="4">
        <v>0.03</v>
      </c>
      <c r="J44" s="3">
        <v>15108.66</v>
      </c>
    </row>
    <row r="45" spans="1:10" x14ac:dyDescent="0.35">
      <c r="A45">
        <v>44</v>
      </c>
      <c r="B45" s="2">
        <v>45961</v>
      </c>
      <c r="C45" t="s">
        <v>24</v>
      </c>
      <c r="D45" t="s">
        <v>22</v>
      </c>
      <c r="E45" t="s">
        <v>23</v>
      </c>
      <c r="F45" t="s">
        <v>15</v>
      </c>
      <c r="G45">
        <v>4</v>
      </c>
      <c r="H45" s="3">
        <v>60972.9</v>
      </c>
      <c r="I45" s="4">
        <v>0.05</v>
      </c>
      <c r="J45" s="3">
        <v>231697</v>
      </c>
    </row>
    <row r="46" spans="1:10" x14ac:dyDescent="0.35">
      <c r="A46">
        <v>45</v>
      </c>
      <c r="B46" s="2">
        <v>45666</v>
      </c>
      <c r="C46" t="s">
        <v>31</v>
      </c>
      <c r="D46" t="s">
        <v>22</v>
      </c>
      <c r="E46" t="s">
        <v>12</v>
      </c>
      <c r="F46" t="s">
        <v>13</v>
      </c>
      <c r="G46">
        <v>5</v>
      </c>
      <c r="H46" s="3">
        <v>1857.5</v>
      </c>
      <c r="I46" s="4">
        <v>0.1</v>
      </c>
      <c r="J46" s="3">
        <v>8358.75</v>
      </c>
    </row>
    <row r="47" spans="1:10" x14ac:dyDescent="0.35">
      <c r="A47">
        <v>46</v>
      </c>
      <c r="B47" s="2">
        <v>45809</v>
      </c>
      <c r="C47" t="s">
        <v>34</v>
      </c>
      <c r="D47" t="s">
        <v>28</v>
      </c>
      <c r="E47" t="s">
        <v>17</v>
      </c>
      <c r="F47" t="s">
        <v>18</v>
      </c>
      <c r="G47">
        <v>3</v>
      </c>
      <c r="H47" s="3">
        <v>13143.68</v>
      </c>
      <c r="I47" s="4">
        <v>0.08</v>
      </c>
      <c r="J47" s="3">
        <v>36276.550000000003</v>
      </c>
    </row>
    <row r="48" spans="1:10" x14ac:dyDescent="0.35">
      <c r="A48">
        <v>47</v>
      </c>
      <c r="B48" s="2">
        <v>45761</v>
      </c>
      <c r="C48" t="s">
        <v>38</v>
      </c>
      <c r="D48" t="s">
        <v>11</v>
      </c>
      <c r="E48" t="s">
        <v>23</v>
      </c>
      <c r="F48" t="s">
        <v>15</v>
      </c>
      <c r="G48">
        <v>8</v>
      </c>
      <c r="H48" s="3">
        <v>71795.91</v>
      </c>
      <c r="I48" s="4">
        <v>0.08</v>
      </c>
      <c r="J48" s="3">
        <v>528417.87</v>
      </c>
    </row>
    <row r="49" spans="1:10" x14ac:dyDescent="0.35">
      <c r="A49">
        <v>48</v>
      </c>
      <c r="B49" s="2">
        <v>45810</v>
      </c>
      <c r="C49" t="s">
        <v>26</v>
      </c>
      <c r="D49" t="s">
        <v>11</v>
      </c>
      <c r="E49" t="s">
        <v>25</v>
      </c>
      <c r="F49" t="s">
        <v>25</v>
      </c>
      <c r="G49">
        <v>3</v>
      </c>
      <c r="H49" s="3">
        <v>8292.24</v>
      </c>
      <c r="I49" s="4">
        <v>0.03</v>
      </c>
      <c r="J49" s="3">
        <v>24130.42</v>
      </c>
    </row>
    <row r="50" spans="1:10" x14ac:dyDescent="0.35">
      <c r="A50">
        <v>49</v>
      </c>
      <c r="B50" s="2">
        <v>45820</v>
      </c>
      <c r="C50" t="s">
        <v>35</v>
      </c>
      <c r="D50" t="s">
        <v>22</v>
      </c>
      <c r="E50" t="s">
        <v>14</v>
      </c>
      <c r="F50" t="s">
        <v>15</v>
      </c>
      <c r="G50">
        <v>8</v>
      </c>
      <c r="H50" s="3">
        <v>17937.849999999999</v>
      </c>
      <c r="I50" s="4">
        <v>0.03</v>
      </c>
      <c r="J50" s="3">
        <v>139197.73000000001</v>
      </c>
    </row>
    <row r="51" spans="1:10" x14ac:dyDescent="0.35">
      <c r="A51">
        <v>50</v>
      </c>
      <c r="B51" s="2">
        <v>45934</v>
      </c>
      <c r="C51" t="s">
        <v>24</v>
      </c>
      <c r="D51" t="s">
        <v>22</v>
      </c>
      <c r="E51" t="s">
        <v>29</v>
      </c>
      <c r="F51" t="s">
        <v>13</v>
      </c>
      <c r="G51">
        <v>1</v>
      </c>
      <c r="H51" s="3">
        <v>795.9</v>
      </c>
      <c r="I51" s="4">
        <v>0</v>
      </c>
      <c r="J51" s="3">
        <v>795.9</v>
      </c>
    </row>
    <row r="52" spans="1:10" x14ac:dyDescent="0.35">
      <c r="A52">
        <v>51</v>
      </c>
      <c r="B52" s="2">
        <v>45785</v>
      </c>
      <c r="C52" t="s">
        <v>24</v>
      </c>
      <c r="D52" t="s">
        <v>22</v>
      </c>
      <c r="E52" t="s">
        <v>12</v>
      </c>
      <c r="F52" t="s">
        <v>13</v>
      </c>
      <c r="G52">
        <v>8</v>
      </c>
      <c r="H52" s="3">
        <v>1950.86</v>
      </c>
      <c r="I52" s="4">
        <v>0.05</v>
      </c>
      <c r="J52" s="3">
        <v>14826.57</v>
      </c>
    </row>
    <row r="53" spans="1:10" x14ac:dyDescent="0.35">
      <c r="A53">
        <v>52</v>
      </c>
      <c r="B53" s="2">
        <v>45895</v>
      </c>
      <c r="C53" t="s">
        <v>32</v>
      </c>
      <c r="D53" t="s">
        <v>20</v>
      </c>
      <c r="E53" t="s">
        <v>12</v>
      </c>
      <c r="F53" t="s">
        <v>13</v>
      </c>
      <c r="G53">
        <v>3</v>
      </c>
      <c r="H53" s="3">
        <v>1698.57</v>
      </c>
      <c r="I53" s="4">
        <v>0.03</v>
      </c>
      <c r="J53" s="3">
        <v>4942.83</v>
      </c>
    </row>
    <row r="54" spans="1:10" x14ac:dyDescent="0.35">
      <c r="A54">
        <v>53</v>
      </c>
      <c r="B54" s="2">
        <v>45940</v>
      </c>
      <c r="C54" t="s">
        <v>31</v>
      </c>
      <c r="D54" t="s">
        <v>22</v>
      </c>
      <c r="E54" t="s">
        <v>25</v>
      </c>
      <c r="F54" t="s">
        <v>25</v>
      </c>
      <c r="G54">
        <v>6</v>
      </c>
      <c r="H54" s="3">
        <v>8205.68</v>
      </c>
      <c r="I54" s="4">
        <v>0.03</v>
      </c>
      <c r="J54" s="3">
        <v>47757.08</v>
      </c>
    </row>
    <row r="55" spans="1:10" x14ac:dyDescent="0.35">
      <c r="A55">
        <v>54</v>
      </c>
      <c r="B55" s="2">
        <v>45974</v>
      </c>
      <c r="C55" t="s">
        <v>33</v>
      </c>
      <c r="D55" t="s">
        <v>28</v>
      </c>
      <c r="E55" t="s">
        <v>14</v>
      </c>
      <c r="F55" t="s">
        <v>15</v>
      </c>
      <c r="G55">
        <v>5</v>
      </c>
      <c r="H55" s="3">
        <v>18332.22</v>
      </c>
      <c r="I55" s="4">
        <v>0.05</v>
      </c>
      <c r="J55" s="3">
        <v>87078.07</v>
      </c>
    </row>
    <row r="56" spans="1:10" x14ac:dyDescent="0.35">
      <c r="A56">
        <v>55</v>
      </c>
      <c r="B56" s="2">
        <v>45674</v>
      </c>
      <c r="C56" t="s">
        <v>24</v>
      </c>
      <c r="D56" t="s">
        <v>22</v>
      </c>
      <c r="E56" t="s">
        <v>17</v>
      </c>
      <c r="F56" t="s">
        <v>18</v>
      </c>
      <c r="G56">
        <v>4</v>
      </c>
      <c r="H56" s="3">
        <v>12418.96</v>
      </c>
      <c r="I56" s="4">
        <v>0</v>
      </c>
      <c r="J56" s="3">
        <v>49675.839999999997</v>
      </c>
    </row>
    <row r="57" spans="1:10" x14ac:dyDescent="0.35">
      <c r="A57">
        <v>56</v>
      </c>
      <c r="B57" s="2">
        <v>45756</v>
      </c>
      <c r="C57" t="s">
        <v>21</v>
      </c>
      <c r="D57" t="s">
        <v>22</v>
      </c>
      <c r="E57" t="s">
        <v>12</v>
      </c>
      <c r="F57" t="s">
        <v>13</v>
      </c>
      <c r="G57">
        <v>6</v>
      </c>
      <c r="H57" s="3">
        <v>1979.22</v>
      </c>
      <c r="I57" s="4">
        <v>0.1</v>
      </c>
      <c r="J57" s="3">
        <v>10687.8</v>
      </c>
    </row>
    <row r="58" spans="1:10" x14ac:dyDescent="0.35">
      <c r="A58">
        <v>57</v>
      </c>
      <c r="B58" s="2">
        <v>45838</v>
      </c>
      <c r="C58" t="s">
        <v>21</v>
      </c>
      <c r="D58" t="s">
        <v>22</v>
      </c>
      <c r="E58" t="s">
        <v>23</v>
      </c>
      <c r="F58" t="s">
        <v>15</v>
      </c>
      <c r="G58">
        <v>5</v>
      </c>
      <c r="H58" s="3">
        <v>63879.67</v>
      </c>
      <c r="I58" s="4">
        <v>0.1</v>
      </c>
      <c r="J58" s="3">
        <v>287458.53000000003</v>
      </c>
    </row>
    <row r="59" spans="1:10" x14ac:dyDescent="0.35">
      <c r="A59">
        <v>58</v>
      </c>
      <c r="B59" s="2">
        <v>45818</v>
      </c>
      <c r="C59" t="s">
        <v>30</v>
      </c>
      <c r="D59" t="s">
        <v>22</v>
      </c>
      <c r="E59" t="s">
        <v>17</v>
      </c>
      <c r="F59" t="s">
        <v>18</v>
      </c>
      <c r="G59">
        <v>4</v>
      </c>
      <c r="H59" s="3">
        <v>11408.01</v>
      </c>
      <c r="I59" s="4">
        <v>0.08</v>
      </c>
      <c r="J59" s="3">
        <v>41981.49</v>
      </c>
    </row>
    <row r="60" spans="1:10" x14ac:dyDescent="0.35">
      <c r="A60">
        <v>59</v>
      </c>
      <c r="B60" s="2">
        <v>45711</v>
      </c>
      <c r="C60" t="s">
        <v>24</v>
      </c>
      <c r="D60" t="s">
        <v>22</v>
      </c>
      <c r="E60" t="s">
        <v>17</v>
      </c>
      <c r="F60" t="s">
        <v>18</v>
      </c>
      <c r="G60">
        <v>8</v>
      </c>
      <c r="H60" s="3">
        <v>11696.71</v>
      </c>
      <c r="I60" s="4">
        <v>0.03</v>
      </c>
      <c r="J60" s="3">
        <v>90766.48</v>
      </c>
    </row>
    <row r="61" spans="1:10" x14ac:dyDescent="0.35">
      <c r="A61">
        <v>60</v>
      </c>
      <c r="B61" s="2">
        <v>45999</v>
      </c>
      <c r="C61" t="s">
        <v>27</v>
      </c>
      <c r="D61" t="s">
        <v>28</v>
      </c>
      <c r="E61" t="s">
        <v>17</v>
      </c>
      <c r="F61" t="s">
        <v>18</v>
      </c>
      <c r="G61">
        <v>8</v>
      </c>
      <c r="H61" s="3">
        <v>11161.69</v>
      </c>
      <c r="I61" s="4">
        <v>0</v>
      </c>
      <c r="J61" s="3">
        <v>89293.49</v>
      </c>
    </row>
    <row r="62" spans="1:10" x14ac:dyDescent="0.35">
      <c r="A62">
        <v>61</v>
      </c>
      <c r="B62" s="2">
        <v>45930</v>
      </c>
      <c r="C62" t="s">
        <v>10</v>
      </c>
      <c r="D62" t="s">
        <v>11</v>
      </c>
      <c r="E62" t="s">
        <v>14</v>
      </c>
      <c r="F62" t="s">
        <v>15</v>
      </c>
      <c r="G62">
        <v>7</v>
      </c>
      <c r="H62" s="3">
        <v>19630.25</v>
      </c>
      <c r="I62" s="4">
        <v>0.05</v>
      </c>
      <c r="J62" s="3">
        <v>130541.17</v>
      </c>
    </row>
    <row r="63" spans="1:10" x14ac:dyDescent="0.35">
      <c r="A63">
        <v>62</v>
      </c>
      <c r="B63" s="2">
        <v>45827</v>
      </c>
      <c r="C63" t="s">
        <v>16</v>
      </c>
      <c r="D63" t="s">
        <v>11</v>
      </c>
      <c r="E63" t="s">
        <v>23</v>
      </c>
      <c r="F63" t="s">
        <v>15</v>
      </c>
      <c r="G63">
        <v>1</v>
      </c>
      <c r="H63" s="3">
        <v>62808.06</v>
      </c>
      <c r="I63" s="4">
        <v>0.08</v>
      </c>
      <c r="J63" s="3">
        <v>57783.42</v>
      </c>
    </row>
    <row r="64" spans="1:10" x14ac:dyDescent="0.35">
      <c r="A64">
        <v>63</v>
      </c>
      <c r="B64" s="2">
        <v>45973</v>
      </c>
      <c r="C64" t="s">
        <v>10</v>
      </c>
      <c r="D64" t="s">
        <v>11</v>
      </c>
      <c r="E64" t="s">
        <v>14</v>
      </c>
      <c r="F64" t="s">
        <v>15</v>
      </c>
      <c r="G64">
        <v>3</v>
      </c>
      <c r="H64" s="3">
        <v>18481.740000000002</v>
      </c>
      <c r="I64" s="4">
        <v>0.03</v>
      </c>
      <c r="J64" s="3">
        <v>53781.86</v>
      </c>
    </row>
    <row r="65" spans="1:10" x14ac:dyDescent="0.35">
      <c r="A65">
        <v>64</v>
      </c>
      <c r="B65" s="2">
        <v>45799</v>
      </c>
      <c r="C65" t="s">
        <v>27</v>
      </c>
      <c r="D65" t="s">
        <v>28</v>
      </c>
      <c r="E65" t="s">
        <v>23</v>
      </c>
      <c r="F65" t="s">
        <v>15</v>
      </c>
      <c r="G65">
        <v>4</v>
      </c>
      <c r="H65" s="3">
        <v>67339.44</v>
      </c>
      <c r="I65" s="4">
        <v>0.08</v>
      </c>
      <c r="J65" s="3">
        <v>247809.13</v>
      </c>
    </row>
    <row r="66" spans="1:10" x14ac:dyDescent="0.35">
      <c r="A66">
        <v>65</v>
      </c>
      <c r="B66" s="2">
        <v>45945</v>
      </c>
      <c r="C66" t="s">
        <v>21</v>
      </c>
      <c r="D66" t="s">
        <v>22</v>
      </c>
      <c r="E66" t="s">
        <v>17</v>
      </c>
      <c r="F66" t="s">
        <v>18</v>
      </c>
      <c r="G66">
        <v>7</v>
      </c>
      <c r="H66" s="3">
        <v>12227.13</v>
      </c>
      <c r="I66" s="4">
        <v>0</v>
      </c>
      <c r="J66" s="3">
        <v>85589.92</v>
      </c>
    </row>
    <row r="67" spans="1:10" x14ac:dyDescent="0.35">
      <c r="A67">
        <v>66</v>
      </c>
      <c r="B67" s="2">
        <v>45782</v>
      </c>
      <c r="C67" t="s">
        <v>10</v>
      </c>
      <c r="D67" t="s">
        <v>11</v>
      </c>
      <c r="E67" t="s">
        <v>25</v>
      </c>
      <c r="F67" t="s">
        <v>25</v>
      </c>
      <c r="G67">
        <v>3</v>
      </c>
      <c r="H67" s="3">
        <v>7576.76</v>
      </c>
      <c r="I67" s="4">
        <v>0.05</v>
      </c>
      <c r="J67" s="3">
        <v>21593.77</v>
      </c>
    </row>
    <row r="68" spans="1:10" x14ac:dyDescent="0.35">
      <c r="A68">
        <v>67</v>
      </c>
      <c r="B68" s="2">
        <v>45983</v>
      </c>
      <c r="C68" t="s">
        <v>38</v>
      </c>
      <c r="D68" t="s">
        <v>11</v>
      </c>
      <c r="E68" t="s">
        <v>14</v>
      </c>
      <c r="F68" t="s">
        <v>15</v>
      </c>
      <c r="G68">
        <v>2</v>
      </c>
      <c r="H68" s="3">
        <v>16001.34</v>
      </c>
      <c r="I68" s="4">
        <v>0</v>
      </c>
      <c r="J68" s="3">
        <v>32002.69</v>
      </c>
    </row>
    <row r="69" spans="1:10" x14ac:dyDescent="0.35">
      <c r="A69">
        <v>68</v>
      </c>
      <c r="B69" s="2">
        <v>45710</v>
      </c>
      <c r="C69" t="s">
        <v>30</v>
      </c>
      <c r="D69" t="s">
        <v>22</v>
      </c>
      <c r="E69" t="s">
        <v>25</v>
      </c>
      <c r="F69" t="s">
        <v>25</v>
      </c>
      <c r="G69">
        <v>3</v>
      </c>
      <c r="H69" s="3">
        <v>7540.04</v>
      </c>
      <c r="I69" s="4">
        <v>0</v>
      </c>
      <c r="J69" s="3">
        <v>22620.11</v>
      </c>
    </row>
    <row r="70" spans="1:10" x14ac:dyDescent="0.35">
      <c r="A70">
        <v>69</v>
      </c>
      <c r="B70" s="2">
        <v>46022</v>
      </c>
      <c r="C70" t="s">
        <v>21</v>
      </c>
      <c r="D70" t="s">
        <v>22</v>
      </c>
      <c r="E70" t="s">
        <v>12</v>
      </c>
      <c r="F70" t="s">
        <v>13</v>
      </c>
      <c r="G70">
        <v>4</v>
      </c>
      <c r="H70" s="3">
        <v>1620.87</v>
      </c>
      <c r="I70" s="4">
        <v>0.05</v>
      </c>
      <c r="J70" s="3">
        <v>6159.31</v>
      </c>
    </row>
    <row r="71" spans="1:10" x14ac:dyDescent="0.35">
      <c r="A71">
        <v>70</v>
      </c>
      <c r="B71" s="2">
        <v>45965</v>
      </c>
      <c r="C71" t="s">
        <v>24</v>
      </c>
      <c r="D71" t="s">
        <v>22</v>
      </c>
      <c r="E71" t="s">
        <v>12</v>
      </c>
      <c r="F71" t="s">
        <v>13</v>
      </c>
      <c r="G71">
        <v>6</v>
      </c>
      <c r="H71" s="3">
        <v>1859.37</v>
      </c>
      <c r="I71" s="4">
        <v>0.05</v>
      </c>
      <c r="J71" s="3">
        <v>10598.41</v>
      </c>
    </row>
    <row r="72" spans="1:10" x14ac:dyDescent="0.35">
      <c r="A72">
        <v>71</v>
      </c>
      <c r="B72" s="2">
        <v>45802</v>
      </c>
      <c r="C72" t="s">
        <v>24</v>
      </c>
      <c r="D72" t="s">
        <v>22</v>
      </c>
      <c r="E72" t="s">
        <v>29</v>
      </c>
      <c r="F72" t="s">
        <v>13</v>
      </c>
      <c r="G72">
        <v>2</v>
      </c>
      <c r="H72" s="3">
        <v>861.76</v>
      </c>
      <c r="I72" s="4">
        <v>0.05</v>
      </c>
      <c r="J72" s="3">
        <v>1637.34</v>
      </c>
    </row>
    <row r="73" spans="1:10" x14ac:dyDescent="0.35">
      <c r="A73">
        <v>72</v>
      </c>
      <c r="B73" s="2">
        <v>45774</v>
      </c>
      <c r="C73" t="s">
        <v>16</v>
      </c>
      <c r="D73" t="s">
        <v>11</v>
      </c>
      <c r="E73" t="s">
        <v>17</v>
      </c>
      <c r="F73" t="s">
        <v>18</v>
      </c>
      <c r="G73">
        <v>4</v>
      </c>
      <c r="H73" s="3">
        <v>11282.48</v>
      </c>
      <c r="I73" s="4">
        <v>0.08</v>
      </c>
      <c r="J73" s="3">
        <v>41519.519999999997</v>
      </c>
    </row>
    <row r="74" spans="1:10" x14ac:dyDescent="0.35">
      <c r="A74">
        <v>73</v>
      </c>
      <c r="B74" s="2">
        <v>45658</v>
      </c>
      <c r="C74" t="s">
        <v>31</v>
      </c>
      <c r="D74" t="s">
        <v>22</v>
      </c>
      <c r="E74" t="s">
        <v>23</v>
      </c>
      <c r="F74" t="s">
        <v>15</v>
      </c>
      <c r="G74">
        <v>4</v>
      </c>
      <c r="H74" s="3">
        <v>59903.39</v>
      </c>
      <c r="I74" s="4">
        <v>0.05</v>
      </c>
      <c r="J74" s="3">
        <v>227632.89</v>
      </c>
    </row>
    <row r="75" spans="1:10" x14ac:dyDescent="0.35">
      <c r="A75">
        <v>74</v>
      </c>
      <c r="B75" s="2">
        <v>45894</v>
      </c>
      <c r="C75" t="s">
        <v>30</v>
      </c>
      <c r="D75" t="s">
        <v>22</v>
      </c>
      <c r="E75" t="s">
        <v>14</v>
      </c>
      <c r="F75" t="s">
        <v>15</v>
      </c>
      <c r="G75">
        <v>8</v>
      </c>
      <c r="H75" s="3">
        <v>18927.05</v>
      </c>
      <c r="I75" s="4">
        <v>0.05</v>
      </c>
      <c r="J75" s="3">
        <v>143845.60999999999</v>
      </c>
    </row>
    <row r="76" spans="1:10" x14ac:dyDescent="0.35">
      <c r="A76">
        <v>75</v>
      </c>
      <c r="B76" s="2">
        <v>45726</v>
      </c>
      <c r="C76" t="s">
        <v>37</v>
      </c>
      <c r="D76" t="s">
        <v>11</v>
      </c>
      <c r="E76" t="s">
        <v>23</v>
      </c>
      <c r="F76" t="s">
        <v>15</v>
      </c>
      <c r="G76">
        <v>8</v>
      </c>
      <c r="H76" s="3">
        <v>67450.94</v>
      </c>
      <c r="I76" s="4">
        <v>0.05</v>
      </c>
      <c r="J76" s="3">
        <v>512627.12</v>
      </c>
    </row>
    <row r="77" spans="1:10" x14ac:dyDescent="0.35">
      <c r="A77">
        <v>76</v>
      </c>
      <c r="B77" s="2">
        <v>45743</v>
      </c>
      <c r="C77" t="s">
        <v>38</v>
      </c>
      <c r="D77" t="s">
        <v>11</v>
      </c>
      <c r="E77" t="s">
        <v>29</v>
      </c>
      <c r="F77" t="s">
        <v>13</v>
      </c>
      <c r="G77">
        <v>7</v>
      </c>
      <c r="H77" s="3">
        <v>914.26</v>
      </c>
      <c r="I77" s="4">
        <v>0</v>
      </c>
      <c r="J77" s="3">
        <v>6399.85</v>
      </c>
    </row>
    <row r="78" spans="1:10" x14ac:dyDescent="0.35">
      <c r="A78">
        <v>77</v>
      </c>
      <c r="B78" s="2">
        <v>45751</v>
      </c>
      <c r="C78" t="s">
        <v>34</v>
      </c>
      <c r="D78" t="s">
        <v>28</v>
      </c>
      <c r="E78" t="s">
        <v>29</v>
      </c>
      <c r="F78" t="s">
        <v>13</v>
      </c>
      <c r="G78">
        <v>6</v>
      </c>
      <c r="H78" s="3">
        <v>812.34</v>
      </c>
      <c r="I78" s="4">
        <v>0</v>
      </c>
      <c r="J78" s="3">
        <v>4874.03</v>
      </c>
    </row>
    <row r="79" spans="1:10" x14ac:dyDescent="0.35">
      <c r="A79">
        <v>78</v>
      </c>
      <c r="B79" s="2">
        <v>45998</v>
      </c>
      <c r="C79" t="s">
        <v>31</v>
      </c>
      <c r="D79" t="s">
        <v>22</v>
      </c>
      <c r="E79" t="s">
        <v>25</v>
      </c>
      <c r="F79" t="s">
        <v>25</v>
      </c>
      <c r="G79">
        <v>4</v>
      </c>
      <c r="H79" s="3">
        <v>6630.89</v>
      </c>
      <c r="I79" s="4">
        <v>0</v>
      </c>
      <c r="J79" s="3">
        <v>26523.56</v>
      </c>
    </row>
    <row r="80" spans="1:10" x14ac:dyDescent="0.35">
      <c r="A80">
        <v>79</v>
      </c>
      <c r="B80" s="2">
        <v>45907</v>
      </c>
      <c r="C80" t="s">
        <v>10</v>
      </c>
      <c r="D80" t="s">
        <v>11</v>
      </c>
      <c r="E80" t="s">
        <v>12</v>
      </c>
      <c r="F80" t="s">
        <v>13</v>
      </c>
      <c r="G80">
        <v>1</v>
      </c>
      <c r="H80" s="3">
        <v>1864.7</v>
      </c>
      <c r="I80" s="4">
        <v>0.05</v>
      </c>
      <c r="J80" s="3">
        <v>1771.47</v>
      </c>
    </row>
    <row r="81" spans="1:10" x14ac:dyDescent="0.35">
      <c r="A81">
        <v>80</v>
      </c>
      <c r="B81" s="2">
        <v>45907</v>
      </c>
      <c r="C81" t="s">
        <v>27</v>
      </c>
      <c r="D81" t="s">
        <v>28</v>
      </c>
      <c r="E81" t="s">
        <v>25</v>
      </c>
      <c r="F81" t="s">
        <v>25</v>
      </c>
      <c r="G81">
        <v>5</v>
      </c>
      <c r="H81" s="3">
        <v>7069.61</v>
      </c>
      <c r="I81" s="4">
        <v>0.08</v>
      </c>
      <c r="J81" s="3">
        <v>32520.2</v>
      </c>
    </row>
    <row r="82" spans="1:10" x14ac:dyDescent="0.35">
      <c r="A82">
        <v>81</v>
      </c>
      <c r="B82" s="2">
        <v>45661</v>
      </c>
      <c r="C82" t="s">
        <v>36</v>
      </c>
      <c r="D82" t="s">
        <v>20</v>
      </c>
      <c r="E82" t="s">
        <v>14</v>
      </c>
      <c r="F82" t="s">
        <v>15</v>
      </c>
      <c r="G82">
        <v>8</v>
      </c>
      <c r="H82" s="3">
        <v>18685.560000000001</v>
      </c>
      <c r="I82" s="4">
        <v>0.08</v>
      </c>
      <c r="J82" s="3">
        <v>137525.70000000001</v>
      </c>
    </row>
    <row r="83" spans="1:10" x14ac:dyDescent="0.35">
      <c r="A83">
        <v>82</v>
      </c>
      <c r="B83" s="2">
        <v>45997</v>
      </c>
      <c r="C83" t="s">
        <v>24</v>
      </c>
      <c r="D83" t="s">
        <v>22</v>
      </c>
      <c r="E83" t="s">
        <v>14</v>
      </c>
      <c r="F83" t="s">
        <v>15</v>
      </c>
      <c r="G83">
        <v>1</v>
      </c>
      <c r="H83" s="3">
        <v>18589.259999999998</v>
      </c>
      <c r="I83" s="4">
        <v>0.08</v>
      </c>
      <c r="J83" s="3">
        <v>17102.12</v>
      </c>
    </row>
    <row r="84" spans="1:10" x14ac:dyDescent="0.35">
      <c r="A84">
        <v>83</v>
      </c>
      <c r="B84" s="2">
        <v>45836</v>
      </c>
      <c r="C84" t="s">
        <v>16</v>
      </c>
      <c r="D84" t="s">
        <v>11</v>
      </c>
      <c r="E84" t="s">
        <v>12</v>
      </c>
      <c r="F84" t="s">
        <v>13</v>
      </c>
      <c r="G84">
        <v>2</v>
      </c>
      <c r="H84" s="3">
        <v>1639.51</v>
      </c>
      <c r="I84" s="4">
        <v>0.05</v>
      </c>
      <c r="J84" s="3">
        <v>3115.07</v>
      </c>
    </row>
    <row r="85" spans="1:10" x14ac:dyDescent="0.35">
      <c r="A85">
        <v>84</v>
      </c>
      <c r="B85" s="2">
        <v>45987</v>
      </c>
      <c r="C85" t="s">
        <v>33</v>
      </c>
      <c r="D85" t="s">
        <v>28</v>
      </c>
      <c r="E85" t="s">
        <v>29</v>
      </c>
      <c r="F85" t="s">
        <v>13</v>
      </c>
      <c r="G85">
        <v>4</v>
      </c>
      <c r="H85" s="3">
        <v>999.62</v>
      </c>
      <c r="I85" s="4">
        <v>0.03</v>
      </c>
      <c r="J85" s="3">
        <v>3878.51</v>
      </c>
    </row>
    <row r="86" spans="1:10" x14ac:dyDescent="0.35">
      <c r="A86">
        <v>85</v>
      </c>
      <c r="B86" s="2">
        <v>45910</v>
      </c>
      <c r="C86" t="s">
        <v>33</v>
      </c>
      <c r="D86" t="s">
        <v>28</v>
      </c>
      <c r="E86" t="s">
        <v>12</v>
      </c>
      <c r="F86" t="s">
        <v>13</v>
      </c>
      <c r="G86">
        <v>5</v>
      </c>
      <c r="H86" s="3">
        <v>1627.54</v>
      </c>
      <c r="I86" s="4">
        <v>0</v>
      </c>
      <c r="J86" s="3">
        <v>8137.68</v>
      </c>
    </row>
    <row r="87" spans="1:10" x14ac:dyDescent="0.35">
      <c r="A87">
        <v>86</v>
      </c>
      <c r="B87" s="2">
        <v>45750</v>
      </c>
      <c r="C87" t="s">
        <v>36</v>
      </c>
      <c r="D87" t="s">
        <v>20</v>
      </c>
      <c r="E87" t="s">
        <v>14</v>
      </c>
      <c r="F87" t="s">
        <v>15</v>
      </c>
      <c r="G87">
        <v>3</v>
      </c>
      <c r="H87" s="3">
        <v>18672.72</v>
      </c>
      <c r="I87" s="4">
        <v>0.03</v>
      </c>
      <c r="J87" s="3">
        <v>54337.62</v>
      </c>
    </row>
    <row r="88" spans="1:10" x14ac:dyDescent="0.35">
      <c r="A88">
        <v>87</v>
      </c>
      <c r="B88" s="2">
        <v>45853</v>
      </c>
      <c r="C88" t="s">
        <v>27</v>
      </c>
      <c r="D88" t="s">
        <v>28</v>
      </c>
      <c r="E88" t="s">
        <v>14</v>
      </c>
      <c r="F88" t="s">
        <v>15</v>
      </c>
      <c r="G88">
        <v>2</v>
      </c>
      <c r="H88" s="3">
        <v>16966.2</v>
      </c>
      <c r="I88" s="4">
        <v>0.03</v>
      </c>
      <c r="J88" s="3">
        <v>32914.43</v>
      </c>
    </row>
    <row r="89" spans="1:10" x14ac:dyDescent="0.35">
      <c r="A89">
        <v>88</v>
      </c>
      <c r="B89" s="2">
        <v>45874</v>
      </c>
      <c r="C89" t="s">
        <v>27</v>
      </c>
      <c r="D89" t="s">
        <v>28</v>
      </c>
      <c r="E89" t="s">
        <v>29</v>
      </c>
      <c r="F89" t="s">
        <v>13</v>
      </c>
      <c r="G89">
        <v>2</v>
      </c>
      <c r="H89" s="3">
        <v>981.53</v>
      </c>
      <c r="I89" s="4">
        <v>0.05</v>
      </c>
      <c r="J89" s="3">
        <v>1864.91</v>
      </c>
    </row>
    <row r="90" spans="1:10" x14ac:dyDescent="0.35">
      <c r="A90">
        <v>89</v>
      </c>
      <c r="B90" s="2">
        <v>45849</v>
      </c>
      <c r="C90" t="s">
        <v>37</v>
      </c>
      <c r="D90" t="s">
        <v>11</v>
      </c>
      <c r="E90" t="s">
        <v>29</v>
      </c>
      <c r="F90" t="s">
        <v>13</v>
      </c>
      <c r="G90">
        <v>1</v>
      </c>
      <c r="H90" s="3">
        <v>883.47</v>
      </c>
      <c r="I90" s="4">
        <v>0.05</v>
      </c>
      <c r="J90" s="3">
        <v>839.3</v>
      </c>
    </row>
    <row r="91" spans="1:10" x14ac:dyDescent="0.35">
      <c r="A91">
        <v>90</v>
      </c>
      <c r="B91" s="2">
        <v>45753</v>
      </c>
      <c r="C91" t="s">
        <v>36</v>
      </c>
      <c r="D91" t="s">
        <v>20</v>
      </c>
      <c r="E91" t="s">
        <v>23</v>
      </c>
      <c r="F91" t="s">
        <v>15</v>
      </c>
      <c r="G91">
        <v>3</v>
      </c>
      <c r="H91" s="3">
        <v>63003.48</v>
      </c>
      <c r="I91" s="4">
        <v>0.05</v>
      </c>
      <c r="J91" s="3">
        <v>179559.92</v>
      </c>
    </row>
    <row r="92" spans="1:10" x14ac:dyDescent="0.35">
      <c r="A92">
        <v>91</v>
      </c>
      <c r="B92" s="2">
        <v>45670</v>
      </c>
      <c r="C92" t="s">
        <v>16</v>
      </c>
      <c r="D92" t="s">
        <v>11</v>
      </c>
      <c r="E92" t="s">
        <v>25</v>
      </c>
      <c r="F92" t="s">
        <v>25</v>
      </c>
      <c r="G92">
        <v>8</v>
      </c>
      <c r="H92" s="3">
        <v>7372.19</v>
      </c>
      <c r="I92" s="4">
        <v>0.08</v>
      </c>
      <c r="J92" s="3">
        <v>54259.31</v>
      </c>
    </row>
    <row r="93" spans="1:10" x14ac:dyDescent="0.35">
      <c r="A93">
        <v>92</v>
      </c>
      <c r="B93" s="2">
        <v>45719</v>
      </c>
      <c r="C93" t="s">
        <v>10</v>
      </c>
      <c r="D93" t="s">
        <v>11</v>
      </c>
      <c r="E93" t="s">
        <v>23</v>
      </c>
      <c r="F93" t="s">
        <v>15</v>
      </c>
      <c r="G93">
        <v>3</v>
      </c>
      <c r="H93" s="3">
        <v>71279.83</v>
      </c>
      <c r="I93" s="4">
        <v>0</v>
      </c>
      <c r="J93" s="3">
        <v>213839.48</v>
      </c>
    </row>
    <row r="94" spans="1:10" x14ac:dyDescent="0.35">
      <c r="A94">
        <v>93</v>
      </c>
      <c r="B94" s="2">
        <v>45757</v>
      </c>
      <c r="C94" t="s">
        <v>26</v>
      </c>
      <c r="D94" t="s">
        <v>11</v>
      </c>
      <c r="E94" t="s">
        <v>23</v>
      </c>
      <c r="F94" t="s">
        <v>15</v>
      </c>
      <c r="G94">
        <v>6</v>
      </c>
      <c r="H94" s="3">
        <v>58759.76</v>
      </c>
      <c r="I94" s="4">
        <v>0.03</v>
      </c>
      <c r="J94" s="3">
        <v>341981.83</v>
      </c>
    </row>
    <row r="95" spans="1:10" x14ac:dyDescent="0.35">
      <c r="A95">
        <v>94</v>
      </c>
      <c r="B95" s="2">
        <v>45941</v>
      </c>
      <c r="C95" t="s">
        <v>21</v>
      </c>
      <c r="D95" t="s">
        <v>22</v>
      </c>
      <c r="E95" t="s">
        <v>29</v>
      </c>
      <c r="F95" t="s">
        <v>13</v>
      </c>
      <c r="G95">
        <v>1</v>
      </c>
      <c r="H95" s="3">
        <v>868.66</v>
      </c>
      <c r="I95" s="4">
        <v>0.08</v>
      </c>
      <c r="J95" s="3">
        <v>799.17</v>
      </c>
    </row>
    <row r="96" spans="1:10" x14ac:dyDescent="0.35">
      <c r="A96">
        <v>95</v>
      </c>
      <c r="B96" s="2">
        <v>45726</v>
      </c>
      <c r="C96" t="s">
        <v>31</v>
      </c>
      <c r="D96" t="s">
        <v>22</v>
      </c>
      <c r="E96" t="s">
        <v>12</v>
      </c>
      <c r="F96" t="s">
        <v>13</v>
      </c>
      <c r="G96">
        <v>3</v>
      </c>
      <c r="H96" s="3">
        <v>1619.98</v>
      </c>
      <c r="I96" s="4">
        <v>0.05</v>
      </c>
      <c r="J96" s="3">
        <v>4616.9399999999996</v>
      </c>
    </row>
    <row r="97" spans="1:10" x14ac:dyDescent="0.35">
      <c r="A97">
        <v>96</v>
      </c>
      <c r="B97" s="2">
        <v>45710</v>
      </c>
      <c r="C97" t="s">
        <v>36</v>
      </c>
      <c r="D97" t="s">
        <v>20</v>
      </c>
      <c r="E97" t="s">
        <v>12</v>
      </c>
      <c r="F97" t="s">
        <v>13</v>
      </c>
      <c r="G97">
        <v>1</v>
      </c>
      <c r="H97" s="3">
        <v>1675.9</v>
      </c>
      <c r="I97" s="4">
        <v>0.05</v>
      </c>
      <c r="J97" s="3">
        <v>1592.1</v>
      </c>
    </row>
    <row r="98" spans="1:10" x14ac:dyDescent="0.35">
      <c r="A98">
        <v>97</v>
      </c>
      <c r="B98" s="2">
        <v>45880</v>
      </c>
      <c r="C98" t="s">
        <v>10</v>
      </c>
      <c r="D98" t="s">
        <v>11</v>
      </c>
      <c r="E98" t="s">
        <v>23</v>
      </c>
      <c r="F98" t="s">
        <v>15</v>
      </c>
      <c r="G98">
        <v>7</v>
      </c>
      <c r="H98" s="3">
        <v>64912.959999999999</v>
      </c>
      <c r="I98" s="4">
        <v>0</v>
      </c>
      <c r="J98" s="3">
        <v>454390.7</v>
      </c>
    </row>
    <row r="99" spans="1:10" x14ac:dyDescent="0.35">
      <c r="A99">
        <v>98</v>
      </c>
      <c r="B99" s="2">
        <v>45803</v>
      </c>
      <c r="C99" t="s">
        <v>27</v>
      </c>
      <c r="D99" t="s">
        <v>28</v>
      </c>
      <c r="E99" t="s">
        <v>29</v>
      </c>
      <c r="F99" t="s">
        <v>13</v>
      </c>
      <c r="G99">
        <v>3</v>
      </c>
      <c r="H99" s="3">
        <v>867.8</v>
      </c>
      <c r="I99" s="4">
        <v>0.08</v>
      </c>
      <c r="J99" s="3">
        <v>2395.12</v>
      </c>
    </row>
    <row r="100" spans="1:10" x14ac:dyDescent="0.35">
      <c r="A100">
        <v>99</v>
      </c>
      <c r="B100" s="2">
        <v>45910</v>
      </c>
      <c r="C100" t="s">
        <v>30</v>
      </c>
      <c r="D100" t="s">
        <v>22</v>
      </c>
      <c r="E100" t="s">
        <v>12</v>
      </c>
      <c r="F100" t="s">
        <v>13</v>
      </c>
      <c r="G100">
        <v>1</v>
      </c>
      <c r="H100" s="3">
        <v>1851.07</v>
      </c>
      <c r="I100" s="4">
        <v>0.08</v>
      </c>
      <c r="J100" s="3">
        <v>1702.98</v>
      </c>
    </row>
    <row r="101" spans="1:10" x14ac:dyDescent="0.35">
      <c r="A101">
        <v>100</v>
      </c>
      <c r="B101" s="2">
        <v>45940</v>
      </c>
      <c r="C101" t="s">
        <v>38</v>
      </c>
      <c r="D101" t="s">
        <v>11</v>
      </c>
      <c r="E101" t="s">
        <v>25</v>
      </c>
      <c r="F101" t="s">
        <v>25</v>
      </c>
      <c r="G101">
        <v>5</v>
      </c>
      <c r="H101" s="3">
        <v>7313.97</v>
      </c>
      <c r="I101" s="4">
        <v>0.03</v>
      </c>
      <c r="J101" s="3">
        <v>35472.769999999997</v>
      </c>
    </row>
    <row r="102" spans="1:10" x14ac:dyDescent="0.35">
      <c r="A102">
        <v>101</v>
      </c>
      <c r="B102" s="2">
        <v>45793</v>
      </c>
      <c r="C102" t="s">
        <v>27</v>
      </c>
      <c r="D102" t="s">
        <v>28</v>
      </c>
      <c r="E102" t="s">
        <v>14</v>
      </c>
      <c r="F102" t="s">
        <v>15</v>
      </c>
      <c r="G102">
        <v>5</v>
      </c>
      <c r="H102" s="3">
        <v>16847.55</v>
      </c>
      <c r="I102" s="4">
        <v>0.05</v>
      </c>
      <c r="J102" s="3">
        <v>80025.84</v>
      </c>
    </row>
    <row r="103" spans="1:10" x14ac:dyDescent="0.35">
      <c r="A103">
        <v>102</v>
      </c>
      <c r="B103" s="2">
        <v>45984</v>
      </c>
      <c r="C103" t="s">
        <v>24</v>
      </c>
      <c r="D103" t="s">
        <v>22</v>
      </c>
      <c r="E103" t="s">
        <v>29</v>
      </c>
      <c r="F103" t="s">
        <v>13</v>
      </c>
      <c r="G103">
        <v>1</v>
      </c>
      <c r="H103" s="3">
        <v>843.12</v>
      </c>
      <c r="I103" s="4">
        <v>0.08</v>
      </c>
      <c r="J103" s="3">
        <v>775.67</v>
      </c>
    </row>
    <row r="104" spans="1:10" x14ac:dyDescent="0.35">
      <c r="A104">
        <v>103</v>
      </c>
      <c r="B104" s="2">
        <v>45932</v>
      </c>
      <c r="C104" t="s">
        <v>34</v>
      </c>
      <c r="D104" t="s">
        <v>28</v>
      </c>
      <c r="E104" t="s">
        <v>29</v>
      </c>
      <c r="F104" t="s">
        <v>13</v>
      </c>
      <c r="G104">
        <v>4</v>
      </c>
      <c r="H104" s="3">
        <v>944.97</v>
      </c>
      <c r="I104" s="4">
        <v>0.03</v>
      </c>
      <c r="J104" s="3">
        <v>3666.47</v>
      </c>
    </row>
    <row r="105" spans="1:10" x14ac:dyDescent="0.35">
      <c r="A105">
        <v>104</v>
      </c>
      <c r="B105" s="2">
        <v>45676</v>
      </c>
      <c r="C105" t="s">
        <v>35</v>
      </c>
      <c r="D105" t="s">
        <v>22</v>
      </c>
      <c r="E105" t="s">
        <v>12</v>
      </c>
      <c r="F105" t="s">
        <v>13</v>
      </c>
      <c r="G105">
        <v>6</v>
      </c>
      <c r="H105" s="3">
        <v>1691.45</v>
      </c>
      <c r="I105" s="4">
        <v>0.08</v>
      </c>
      <c r="J105" s="3">
        <v>9336.7999999999993</v>
      </c>
    </row>
    <row r="106" spans="1:10" x14ac:dyDescent="0.35">
      <c r="A106">
        <v>105</v>
      </c>
      <c r="B106" s="2">
        <v>45783</v>
      </c>
      <c r="C106" t="s">
        <v>10</v>
      </c>
      <c r="D106" t="s">
        <v>11</v>
      </c>
      <c r="E106" t="s">
        <v>25</v>
      </c>
      <c r="F106" t="s">
        <v>25</v>
      </c>
      <c r="G106">
        <v>3</v>
      </c>
      <c r="H106" s="3">
        <v>7329.36</v>
      </c>
      <c r="I106" s="4">
        <v>0.03</v>
      </c>
      <c r="J106" s="3">
        <v>21328.45</v>
      </c>
    </row>
    <row r="107" spans="1:10" x14ac:dyDescent="0.35">
      <c r="A107">
        <v>106</v>
      </c>
      <c r="B107" s="2">
        <v>45658</v>
      </c>
      <c r="C107" t="s">
        <v>27</v>
      </c>
      <c r="D107" t="s">
        <v>28</v>
      </c>
      <c r="E107" t="s">
        <v>12</v>
      </c>
      <c r="F107" t="s">
        <v>13</v>
      </c>
      <c r="G107">
        <v>4</v>
      </c>
      <c r="H107" s="3">
        <v>1939.45</v>
      </c>
      <c r="I107" s="4">
        <v>0.08</v>
      </c>
      <c r="J107" s="3">
        <v>7137.16</v>
      </c>
    </row>
    <row r="108" spans="1:10" x14ac:dyDescent="0.35">
      <c r="A108">
        <v>107</v>
      </c>
      <c r="B108" s="2">
        <v>45969</v>
      </c>
      <c r="C108" t="s">
        <v>36</v>
      </c>
      <c r="D108" t="s">
        <v>20</v>
      </c>
      <c r="E108" t="s">
        <v>29</v>
      </c>
      <c r="F108" t="s">
        <v>13</v>
      </c>
      <c r="G108">
        <v>4</v>
      </c>
      <c r="H108" s="3">
        <v>872.97</v>
      </c>
      <c r="I108" s="4">
        <v>0.1</v>
      </c>
      <c r="J108" s="3">
        <v>3142.7</v>
      </c>
    </row>
    <row r="109" spans="1:10" x14ac:dyDescent="0.35">
      <c r="A109">
        <v>108</v>
      </c>
      <c r="B109" s="2">
        <v>45817</v>
      </c>
      <c r="C109" t="s">
        <v>32</v>
      </c>
      <c r="D109" t="s">
        <v>20</v>
      </c>
      <c r="E109" t="s">
        <v>25</v>
      </c>
      <c r="F109" t="s">
        <v>25</v>
      </c>
      <c r="G109">
        <v>5</v>
      </c>
      <c r="H109" s="3">
        <v>6621.88</v>
      </c>
      <c r="I109" s="4">
        <v>0.1</v>
      </c>
      <c r="J109" s="3">
        <v>29798.45</v>
      </c>
    </row>
    <row r="110" spans="1:10" x14ac:dyDescent="0.35">
      <c r="A110">
        <v>109</v>
      </c>
      <c r="B110" s="2">
        <v>45860</v>
      </c>
      <c r="C110" t="s">
        <v>35</v>
      </c>
      <c r="D110" t="s">
        <v>22</v>
      </c>
      <c r="E110" t="s">
        <v>29</v>
      </c>
      <c r="F110" t="s">
        <v>13</v>
      </c>
      <c r="G110">
        <v>7</v>
      </c>
      <c r="H110" s="3">
        <v>905.98</v>
      </c>
      <c r="I110" s="4">
        <v>0.08</v>
      </c>
      <c r="J110" s="3">
        <v>5834.53</v>
      </c>
    </row>
    <row r="111" spans="1:10" x14ac:dyDescent="0.35">
      <c r="A111">
        <v>110</v>
      </c>
      <c r="B111" s="2">
        <v>45704</v>
      </c>
      <c r="C111" t="s">
        <v>21</v>
      </c>
      <c r="D111" t="s">
        <v>22</v>
      </c>
      <c r="E111" t="s">
        <v>29</v>
      </c>
      <c r="F111" t="s">
        <v>13</v>
      </c>
      <c r="G111">
        <v>4</v>
      </c>
      <c r="H111" s="3">
        <v>1001.37</v>
      </c>
      <c r="I111" s="4">
        <v>0.05</v>
      </c>
      <c r="J111" s="3">
        <v>3805.2</v>
      </c>
    </row>
    <row r="112" spans="1:10" x14ac:dyDescent="0.35">
      <c r="A112">
        <v>111</v>
      </c>
      <c r="B112" s="2">
        <v>45711</v>
      </c>
      <c r="C112" t="s">
        <v>34</v>
      </c>
      <c r="D112" t="s">
        <v>28</v>
      </c>
      <c r="E112" t="s">
        <v>23</v>
      </c>
      <c r="F112" t="s">
        <v>15</v>
      </c>
      <c r="G112">
        <v>6</v>
      </c>
      <c r="H112" s="3">
        <v>72734.97</v>
      </c>
      <c r="I112" s="4">
        <v>0.03</v>
      </c>
      <c r="J112" s="3">
        <v>423317.52</v>
      </c>
    </row>
    <row r="113" spans="1:10" x14ac:dyDescent="0.35">
      <c r="A113">
        <v>112</v>
      </c>
      <c r="B113" s="2">
        <v>45987</v>
      </c>
      <c r="C113" t="s">
        <v>38</v>
      </c>
      <c r="D113" t="s">
        <v>11</v>
      </c>
      <c r="E113" t="s">
        <v>17</v>
      </c>
      <c r="F113" t="s">
        <v>18</v>
      </c>
      <c r="G113">
        <v>8</v>
      </c>
      <c r="H113" s="3">
        <v>13195.93</v>
      </c>
      <c r="I113" s="4">
        <v>0.08</v>
      </c>
      <c r="J113" s="3">
        <v>97122.06</v>
      </c>
    </row>
    <row r="114" spans="1:10" x14ac:dyDescent="0.35">
      <c r="A114">
        <v>113</v>
      </c>
      <c r="B114" s="2">
        <v>45779</v>
      </c>
      <c r="C114" t="s">
        <v>24</v>
      </c>
      <c r="D114" t="s">
        <v>22</v>
      </c>
      <c r="E114" t="s">
        <v>25</v>
      </c>
      <c r="F114" t="s">
        <v>25</v>
      </c>
      <c r="G114">
        <v>4</v>
      </c>
      <c r="H114" s="3">
        <v>7204.19</v>
      </c>
      <c r="I114" s="4">
        <v>0</v>
      </c>
      <c r="J114" s="3">
        <v>28816.75</v>
      </c>
    </row>
    <row r="115" spans="1:10" x14ac:dyDescent="0.35">
      <c r="A115">
        <v>114</v>
      </c>
      <c r="B115" s="2">
        <v>45685</v>
      </c>
      <c r="C115" t="s">
        <v>21</v>
      </c>
      <c r="D115" t="s">
        <v>22</v>
      </c>
      <c r="E115" t="s">
        <v>12</v>
      </c>
      <c r="F115" t="s">
        <v>13</v>
      </c>
      <c r="G115">
        <v>2</v>
      </c>
      <c r="H115" s="3">
        <v>1683.1</v>
      </c>
      <c r="I115" s="4">
        <v>0.03</v>
      </c>
      <c r="J115" s="3">
        <v>3265.21</v>
      </c>
    </row>
    <row r="116" spans="1:10" x14ac:dyDescent="0.35">
      <c r="A116">
        <v>115</v>
      </c>
      <c r="B116" s="2">
        <v>45802</v>
      </c>
      <c r="C116" t="s">
        <v>21</v>
      </c>
      <c r="D116" t="s">
        <v>22</v>
      </c>
      <c r="E116" t="s">
        <v>29</v>
      </c>
      <c r="F116" t="s">
        <v>13</v>
      </c>
      <c r="G116">
        <v>1</v>
      </c>
      <c r="H116" s="3">
        <v>889.9</v>
      </c>
      <c r="I116" s="4">
        <v>0.03</v>
      </c>
      <c r="J116" s="3">
        <v>863.2</v>
      </c>
    </row>
    <row r="117" spans="1:10" x14ac:dyDescent="0.35">
      <c r="A117">
        <v>116</v>
      </c>
      <c r="B117" s="2">
        <v>45703</v>
      </c>
      <c r="C117" t="s">
        <v>34</v>
      </c>
      <c r="D117" t="s">
        <v>28</v>
      </c>
      <c r="E117" t="s">
        <v>23</v>
      </c>
      <c r="F117" t="s">
        <v>15</v>
      </c>
      <c r="G117">
        <v>5</v>
      </c>
      <c r="H117" s="3">
        <v>67881.81</v>
      </c>
      <c r="I117" s="4">
        <v>0.08</v>
      </c>
      <c r="J117" s="3">
        <v>312256.31</v>
      </c>
    </row>
    <row r="118" spans="1:10" x14ac:dyDescent="0.35">
      <c r="A118">
        <v>117</v>
      </c>
      <c r="B118" s="2">
        <v>45960</v>
      </c>
      <c r="C118" t="s">
        <v>36</v>
      </c>
      <c r="D118" t="s">
        <v>20</v>
      </c>
      <c r="E118" t="s">
        <v>29</v>
      </c>
      <c r="F118" t="s">
        <v>13</v>
      </c>
      <c r="G118">
        <v>6</v>
      </c>
      <c r="H118" s="3">
        <v>948.76</v>
      </c>
      <c r="I118" s="4">
        <v>0.1</v>
      </c>
      <c r="J118" s="3">
        <v>5123.28</v>
      </c>
    </row>
    <row r="119" spans="1:10" x14ac:dyDescent="0.35">
      <c r="A119">
        <v>118</v>
      </c>
      <c r="B119" s="2">
        <v>46022</v>
      </c>
      <c r="C119" t="s">
        <v>34</v>
      </c>
      <c r="D119" t="s">
        <v>28</v>
      </c>
      <c r="E119" t="s">
        <v>14</v>
      </c>
      <c r="F119" t="s">
        <v>15</v>
      </c>
      <c r="G119">
        <v>2</v>
      </c>
      <c r="H119" s="3">
        <v>19581.400000000001</v>
      </c>
      <c r="I119" s="4">
        <v>0.1</v>
      </c>
      <c r="J119" s="3">
        <v>35246.51</v>
      </c>
    </row>
    <row r="120" spans="1:10" x14ac:dyDescent="0.35">
      <c r="A120">
        <v>119</v>
      </c>
      <c r="B120" s="2">
        <v>45834</v>
      </c>
      <c r="C120" t="s">
        <v>37</v>
      </c>
      <c r="D120" t="s">
        <v>11</v>
      </c>
      <c r="E120" t="s">
        <v>23</v>
      </c>
      <c r="F120" t="s">
        <v>15</v>
      </c>
      <c r="G120">
        <v>6</v>
      </c>
      <c r="H120" s="3">
        <v>72601.509999999995</v>
      </c>
      <c r="I120" s="4">
        <v>0.08</v>
      </c>
      <c r="J120" s="3">
        <v>400760.32000000001</v>
      </c>
    </row>
    <row r="121" spans="1:10" x14ac:dyDescent="0.35">
      <c r="A121">
        <v>120</v>
      </c>
      <c r="B121" s="2">
        <v>45940</v>
      </c>
      <c r="C121" t="s">
        <v>33</v>
      </c>
      <c r="D121" t="s">
        <v>28</v>
      </c>
      <c r="E121" t="s">
        <v>29</v>
      </c>
      <c r="F121" t="s">
        <v>13</v>
      </c>
      <c r="G121">
        <v>2</v>
      </c>
      <c r="H121" s="3">
        <v>1001.5</v>
      </c>
      <c r="I121" s="4">
        <v>0.03</v>
      </c>
      <c r="J121" s="3">
        <v>1942.91</v>
      </c>
    </row>
    <row r="122" spans="1:10" x14ac:dyDescent="0.35">
      <c r="A122">
        <v>121</v>
      </c>
      <c r="B122" s="2">
        <v>45968</v>
      </c>
      <c r="C122" t="s">
        <v>32</v>
      </c>
      <c r="D122" t="s">
        <v>20</v>
      </c>
      <c r="E122" t="s">
        <v>29</v>
      </c>
      <c r="F122" t="s">
        <v>13</v>
      </c>
      <c r="G122">
        <v>1</v>
      </c>
      <c r="H122" s="3">
        <v>881.6</v>
      </c>
      <c r="I122" s="4">
        <v>0.05</v>
      </c>
      <c r="J122" s="3">
        <v>837.52</v>
      </c>
    </row>
    <row r="123" spans="1:10" x14ac:dyDescent="0.35">
      <c r="A123">
        <v>122</v>
      </c>
      <c r="B123" s="2">
        <v>45916</v>
      </c>
      <c r="C123" t="s">
        <v>38</v>
      </c>
      <c r="D123" t="s">
        <v>11</v>
      </c>
      <c r="E123" t="s">
        <v>12</v>
      </c>
      <c r="F123" t="s">
        <v>13</v>
      </c>
      <c r="G123">
        <v>1</v>
      </c>
      <c r="H123" s="3">
        <v>1907.96</v>
      </c>
      <c r="I123" s="4">
        <v>0.05</v>
      </c>
      <c r="J123" s="3">
        <v>1812.56</v>
      </c>
    </row>
    <row r="124" spans="1:10" x14ac:dyDescent="0.35">
      <c r="A124">
        <v>123</v>
      </c>
      <c r="B124" s="2">
        <v>45802</v>
      </c>
      <c r="C124" t="s">
        <v>37</v>
      </c>
      <c r="D124" t="s">
        <v>11</v>
      </c>
      <c r="E124" t="s">
        <v>29</v>
      </c>
      <c r="F124" t="s">
        <v>13</v>
      </c>
      <c r="G124">
        <v>5</v>
      </c>
      <c r="H124" s="3">
        <v>975.52</v>
      </c>
      <c r="I124" s="4">
        <v>0.1</v>
      </c>
      <c r="J124" s="3">
        <v>4389.8599999999997</v>
      </c>
    </row>
    <row r="125" spans="1:10" x14ac:dyDescent="0.35">
      <c r="A125">
        <v>124</v>
      </c>
      <c r="B125" s="2">
        <v>45862</v>
      </c>
      <c r="C125" t="s">
        <v>37</v>
      </c>
      <c r="D125" t="s">
        <v>11</v>
      </c>
      <c r="E125" t="s">
        <v>25</v>
      </c>
      <c r="F125" t="s">
        <v>25</v>
      </c>
      <c r="G125">
        <v>1</v>
      </c>
      <c r="H125" s="3">
        <v>8317.2900000000009</v>
      </c>
      <c r="I125" s="4">
        <v>0</v>
      </c>
      <c r="J125" s="3">
        <v>8317.2900000000009</v>
      </c>
    </row>
    <row r="126" spans="1:10" x14ac:dyDescent="0.35">
      <c r="A126">
        <v>125</v>
      </c>
      <c r="B126" s="2">
        <v>46005</v>
      </c>
      <c r="C126" t="s">
        <v>26</v>
      </c>
      <c r="D126" t="s">
        <v>11</v>
      </c>
      <c r="E126" t="s">
        <v>25</v>
      </c>
      <c r="F126" t="s">
        <v>25</v>
      </c>
      <c r="G126">
        <v>1</v>
      </c>
      <c r="H126" s="3">
        <v>7712.63</v>
      </c>
      <c r="I126" s="4">
        <v>0.05</v>
      </c>
      <c r="J126" s="3">
        <v>7327</v>
      </c>
    </row>
    <row r="127" spans="1:10" x14ac:dyDescent="0.35">
      <c r="A127">
        <v>126</v>
      </c>
      <c r="B127" s="2">
        <v>45963</v>
      </c>
      <c r="C127" t="s">
        <v>30</v>
      </c>
      <c r="D127" t="s">
        <v>22</v>
      </c>
      <c r="E127" t="s">
        <v>14</v>
      </c>
      <c r="F127" t="s">
        <v>15</v>
      </c>
      <c r="G127">
        <v>2</v>
      </c>
      <c r="H127" s="3">
        <v>19176.419999999998</v>
      </c>
      <c r="I127" s="4">
        <v>0.05</v>
      </c>
      <c r="J127" s="3">
        <v>36435.19</v>
      </c>
    </row>
    <row r="128" spans="1:10" x14ac:dyDescent="0.35">
      <c r="A128">
        <v>127</v>
      </c>
      <c r="B128" s="2">
        <v>45908</v>
      </c>
      <c r="C128" t="s">
        <v>21</v>
      </c>
      <c r="D128" t="s">
        <v>22</v>
      </c>
      <c r="E128" t="s">
        <v>23</v>
      </c>
      <c r="F128" t="s">
        <v>15</v>
      </c>
      <c r="G128">
        <v>6</v>
      </c>
      <c r="H128" s="3">
        <v>58579.17</v>
      </c>
      <c r="I128" s="4">
        <v>0.1</v>
      </c>
      <c r="J128" s="3">
        <v>316327.51</v>
      </c>
    </row>
    <row r="129" spans="1:10" x14ac:dyDescent="0.35">
      <c r="A129">
        <v>128</v>
      </c>
      <c r="B129" s="2">
        <v>45886</v>
      </c>
      <c r="C129" t="s">
        <v>34</v>
      </c>
      <c r="D129" t="s">
        <v>28</v>
      </c>
      <c r="E129" t="s">
        <v>23</v>
      </c>
      <c r="F129" t="s">
        <v>15</v>
      </c>
      <c r="G129">
        <v>8</v>
      </c>
      <c r="H129" s="3">
        <v>63760.36</v>
      </c>
      <c r="I129" s="4">
        <v>0.05</v>
      </c>
      <c r="J129" s="3">
        <v>484578.72</v>
      </c>
    </row>
    <row r="130" spans="1:10" x14ac:dyDescent="0.35">
      <c r="A130">
        <v>129</v>
      </c>
      <c r="B130" s="2">
        <v>45849</v>
      </c>
      <c r="C130" t="s">
        <v>37</v>
      </c>
      <c r="D130" t="s">
        <v>11</v>
      </c>
      <c r="E130" t="s">
        <v>25</v>
      </c>
      <c r="F130" t="s">
        <v>25</v>
      </c>
      <c r="G130">
        <v>2</v>
      </c>
      <c r="H130" s="3">
        <v>8225.67</v>
      </c>
      <c r="I130" s="4">
        <v>0.08</v>
      </c>
      <c r="J130" s="3">
        <v>15135.24</v>
      </c>
    </row>
    <row r="131" spans="1:10" x14ac:dyDescent="0.35">
      <c r="A131">
        <v>130</v>
      </c>
      <c r="B131" s="2">
        <v>45992</v>
      </c>
      <c r="C131" t="s">
        <v>21</v>
      </c>
      <c r="D131" t="s">
        <v>22</v>
      </c>
      <c r="E131" t="s">
        <v>14</v>
      </c>
      <c r="F131" t="s">
        <v>15</v>
      </c>
      <c r="G131">
        <v>6</v>
      </c>
      <c r="H131" s="3">
        <v>18590.3</v>
      </c>
      <c r="I131" s="4">
        <v>0.05</v>
      </c>
      <c r="J131" s="3">
        <v>105964.73</v>
      </c>
    </row>
    <row r="132" spans="1:10" x14ac:dyDescent="0.35">
      <c r="A132">
        <v>131</v>
      </c>
      <c r="B132" s="2">
        <v>45992</v>
      </c>
      <c r="C132" t="s">
        <v>33</v>
      </c>
      <c r="D132" t="s">
        <v>28</v>
      </c>
      <c r="E132" t="s">
        <v>17</v>
      </c>
      <c r="F132" t="s">
        <v>18</v>
      </c>
      <c r="G132">
        <v>7</v>
      </c>
      <c r="H132" s="3">
        <v>12136.65</v>
      </c>
      <c r="I132" s="4">
        <v>0.08</v>
      </c>
      <c r="J132" s="3">
        <v>78160</v>
      </c>
    </row>
    <row r="133" spans="1:10" x14ac:dyDescent="0.35">
      <c r="A133">
        <v>132</v>
      </c>
      <c r="B133" s="2">
        <v>45942</v>
      </c>
      <c r="C133" t="s">
        <v>21</v>
      </c>
      <c r="D133" t="s">
        <v>22</v>
      </c>
      <c r="E133" t="s">
        <v>25</v>
      </c>
      <c r="F133" t="s">
        <v>25</v>
      </c>
      <c r="G133">
        <v>7</v>
      </c>
      <c r="H133" s="3">
        <v>7855.76</v>
      </c>
      <c r="I133" s="4">
        <v>0.05</v>
      </c>
      <c r="J133" s="3">
        <v>52240.77</v>
      </c>
    </row>
    <row r="134" spans="1:10" x14ac:dyDescent="0.35">
      <c r="A134">
        <v>133</v>
      </c>
      <c r="B134" s="2">
        <v>45997</v>
      </c>
      <c r="C134" t="s">
        <v>26</v>
      </c>
      <c r="D134" t="s">
        <v>11</v>
      </c>
      <c r="E134" t="s">
        <v>14</v>
      </c>
      <c r="F134" t="s">
        <v>15</v>
      </c>
      <c r="G134">
        <v>8</v>
      </c>
      <c r="H134" s="3">
        <v>19161.72</v>
      </c>
      <c r="I134" s="4">
        <v>0.08</v>
      </c>
      <c r="J134" s="3">
        <v>141030.29</v>
      </c>
    </row>
    <row r="135" spans="1:10" x14ac:dyDescent="0.35">
      <c r="A135">
        <v>134</v>
      </c>
      <c r="B135" s="2">
        <v>45783</v>
      </c>
      <c r="C135" t="s">
        <v>16</v>
      </c>
      <c r="D135" t="s">
        <v>11</v>
      </c>
      <c r="E135" t="s">
        <v>29</v>
      </c>
      <c r="F135" t="s">
        <v>13</v>
      </c>
      <c r="G135">
        <v>2</v>
      </c>
      <c r="H135" s="3">
        <v>867.04</v>
      </c>
      <c r="I135" s="4">
        <v>0.05</v>
      </c>
      <c r="J135" s="3">
        <v>1647.38</v>
      </c>
    </row>
    <row r="136" spans="1:10" x14ac:dyDescent="0.35">
      <c r="A136">
        <v>135</v>
      </c>
      <c r="B136" s="2">
        <v>45808</v>
      </c>
      <c r="C136" t="s">
        <v>33</v>
      </c>
      <c r="D136" t="s">
        <v>28</v>
      </c>
      <c r="E136" t="s">
        <v>17</v>
      </c>
      <c r="F136" t="s">
        <v>18</v>
      </c>
      <c r="G136">
        <v>8</v>
      </c>
      <c r="H136" s="3">
        <v>12107.32</v>
      </c>
      <c r="I136" s="4">
        <v>0.03</v>
      </c>
      <c r="J136" s="3">
        <v>93952.79</v>
      </c>
    </row>
    <row r="137" spans="1:10" x14ac:dyDescent="0.35">
      <c r="A137">
        <v>136</v>
      </c>
      <c r="B137" s="2">
        <v>45841</v>
      </c>
      <c r="C137" t="s">
        <v>10</v>
      </c>
      <c r="D137" t="s">
        <v>11</v>
      </c>
      <c r="E137" t="s">
        <v>17</v>
      </c>
      <c r="F137" t="s">
        <v>18</v>
      </c>
      <c r="G137">
        <v>6</v>
      </c>
      <c r="H137" s="3">
        <v>11078.59</v>
      </c>
      <c r="I137" s="4">
        <v>0.05</v>
      </c>
      <c r="J137" s="3">
        <v>63147.98</v>
      </c>
    </row>
    <row r="138" spans="1:10" x14ac:dyDescent="0.35">
      <c r="A138">
        <v>137</v>
      </c>
      <c r="B138" s="2">
        <v>45718</v>
      </c>
      <c r="C138" t="s">
        <v>34</v>
      </c>
      <c r="D138" t="s">
        <v>28</v>
      </c>
      <c r="E138" t="s">
        <v>17</v>
      </c>
      <c r="F138" t="s">
        <v>18</v>
      </c>
      <c r="G138">
        <v>8</v>
      </c>
      <c r="H138" s="3">
        <v>12482.57</v>
      </c>
      <c r="I138" s="4">
        <v>0.05</v>
      </c>
      <c r="J138" s="3">
        <v>94867.5</v>
      </c>
    </row>
    <row r="139" spans="1:10" x14ac:dyDescent="0.35">
      <c r="A139">
        <v>138</v>
      </c>
      <c r="B139" s="2">
        <v>45827</v>
      </c>
      <c r="C139" t="s">
        <v>27</v>
      </c>
      <c r="D139" t="s">
        <v>28</v>
      </c>
      <c r="E139" t="s">
        <v>17</v>
      </c>
      <c r="F139" t="s">
        <v>18</v>
      </c>
      <c r="G139">
        <v>3</v>
      </c>
      <c r="H139" s="3">
        <v>11553.84</v>
      </c>
      <c r="I139" s="4">
        <v>0.08</v>
      </c>
      <c r="J139" s="3">
        <v>31888.59</v>
      </c>
    </row>
    <row r="140" spans="1:10" x14ac:dyDescent="0.35">
      <c r="A140">
        <v>139</v>
      </c>
      <c r="B140" s="2">
        <v>45669</v>
      </c>
      <c r="C140" t="s">
        <v>35</v>
      </c>
      <c r="D140" t="s">
        <v>22</v>
      </c>
      <c r="E140" t="s">
        <v>25</v>
      </c>
      <c r="F140" t="s">
        <v>25</v>
      </c>
      <c r="G140">
        <v>5</v>
      </c>
      <c r="H140" s="3">
        <v>7561.96</v>
      </c>
      <c r="I140" s="4">
        <v>0.05</v>
      </c>
      <c r="J140" s="3">
        <v>35919.32</v>
      </c>
    </row>
    <row r="141" spans="1:10" x14ac:dyDescent="0.35">
      <c r="A141">
        <v>140</v>
      </c>
      <c r="B141" s="2">
        <v>45730</v>
      </c>
      <c r="C141" t="s">
        <v>27</v>
      </c>
      <c r="D141" t="s">
        <v>28</v>
      </c>
      <c r="E141" t="s">
        <v>25</v>
      </c>
      <c r="F141" t="s">
        <v>25</v>
      </c>
      <c r="G141">
        <v>2</v>
      </c>
      <c r="H141" s="3">
        <v>7194.18</v>
      </c>
      <c r="I141" s="4">
        <v>0</v>
      </c>
      <c r="J141" s="3">
        <v>14388.36</v>
      </c>
    </row>
    <row r="142" spans="1:10" x14ac:dyDescent="0.35">
      <c r="A142">
        <v>141</v>
      </c>
      <c r="B142" s="2">
        <v>46007</v>
      </c>
      <c r="C142" t="s">
        <v>27</v>
      </c>
      <c r="D142" t="s">
        <v>28</v>
      </c>
      <c r="E142" t="s">
        <v>23</v>
      </c>
      <c r="F142" t="s">
        <v>15</v>
      </c>
      <c r="G142">
        <v>7</v>
      </c>
      <c r="H142" s="3">
        <v>58475.44</v>
      </c>
      <c r="I142" s="4">
        <v>0.05</v>
      </c>
      <c r="J142" s="3">
        <v>388861.68</v>
      </c>
    </row>
    <row r="143" spans="1:10" x14ac:dyDescent="0.35">
      <c r="A143">
        <v>142</v>
      </c>
      <c r="B143" s="2">
        <v>45770</v>
      </c>
      <c r="C143" t="s">
        <v>33</v>
      </c>
      <c r="D143" t="s">
        <v>28</v>
      </c>
      <c r="E143" t="s">
        <v>29</v>
      </c>
      <c r="F143" t="s">
        <v>13</v>
      </c>
      <c r="G143">
        <v>1</v>
      </c>
      <c r="H143" s="3">
        <v>966.14</v>
      </c>
      <c r="I143" s="4">
        <v>0.03</v>
      </c>
      <c r="J143" s="3">
        <v>937.16</v>
      </c>
    </row>
    <row r="144" spans="1:10" x14ac:dyDescent="0.35">
      <c r="A144">
        <v>143</v>
      </c>
      <c r="B144" s="2">
        <v>45871</v>
      </c>
      <c r="C144" t="s">
        <v>36</v>
      </c>
      <c r="D144" t="s">
        <v>20</v>
      </c>
      <c r="E144" t="s">
        <v>29</v>
      </c>
      <c r="F144" t="s">
        <v>13</v>
      </c>
      <c r="G144">
        <v>4</v>
      </c>
      <c r="H144" s="3">
        <v>872.02</v>
      </c>
      <c r="I144" s="4">
        <v>0.03</v>
      </c>
      <c r="J144" s="3">
        <v>3383.45</v>
      </c>
    </row>
    <row r="145" spans="1:10" x14ac:dyDescent="0.35">
      <c r="A145">
        <v>144</v>
      </c>
      <c r="B145" s="2">
        <v>46022</v>
      </c>
      <c r="C145" t="s">
        <v>31</v>
      </c>
      <c r="D145" t="s">
        <v>22</v>
      </c>
      <c r="E145" t="s">
        <v>14</v>
      </c>
      <c r="F145" t="s">
        <v>15</v>
      </c>
      <c r="G145">
        <v>4</v>
      </c>
      <c r="H145" s="3">
        <v>17838.150000000001</v>
      </c>
      <c r="I145" s="4">
        <v>0.03</v>
      </c>
      <c r="J145" s="3">
        <v>69212.02</v>
      </c>
    </row>
    <row r="146" spans="1:10" x14ac:dyDescent="0.35">
      <c r="A146">
        <v>145</v>
      </c>
      <c r="B146" s="2">
        <v>45768</v>
      </c>
      <c r="C146" t="s">
        <v>27</v>
      </c>
      <c r="D146" t="s">
        <v>28</v>
      </c>
      <c r="E146" t="s">
        <v>25</v>
      </c>
      <c r="F146" t="s">
        <v>25</v>
      </c>
      <c r="G146">
        <v>3</v>
      </c>
      <c r="H146" s="3">
        <v>7884.03</v>
      </c>
      <c r="I146" s="4">
        <v>0.03</v>
      </c>
      <c r="J146" s="3">
        <v>22942.53</v>
      </c>
    </row>
    <row r="147" spans="1:10" x14ac:dyDescent="0.35">
      <c r="A147">
        <v>146</v>
      </c>
      <c r="B147" s="2">
        <v>45951</v>
      </c>
      <c r="C147" t="s">
        <v>10</v>
      </c>
      <c r="D147" t="s">
        <v>11</v>
      </c>
      <c r="E147" t="s">
        <v>25</v>
      </c>
      <c r="F147" t="s">
        <v>25</v>
      </c>
      <c r="G147">
        <v>3</v>
      </c>
      <c r="H147" s="3">
        <v>6792.91</v>
      </c>
      <c r="I147" s="4">
        <v>0.05</v>
      </c>
      <c r="J147" s="3">
        <v>19359.79</v>
      </c>
    </row>
    <row r="148" spans="1:10" x14ac:dyDescent="0.35">
      <c r="A148">
        <v>147</v>
      </c>
      <c r="B148" s="2">
        <v>45685</v>
      </c>
      <c r="C148" t="s">
        <v>36</v>
      </c>
      <c r="D148" t="s">
        <v>20</v>
      </c>
      <c r="E148" t="s">
        <v>17</v>
      </c>
      <c r="F148" t="s">
        <v>18</v>
      </c>
      <c r="G148">
        <v>7</v>
      </c>
      <c r="H148" s="3">
        <v>12683.73</v>
      </c>
      <c r="I148" s="4">
        <v>0</v>
      </c>
      <c r="J148" s="3">
        <v>88786.09</v>
      </c>
    </row>
    <row r="149" spans="1:10" x14ac:dyDescent="0.35">
      <c r="A149">
        <v>148</v>
      </c>
      <c r="B149" s="2">
        <v>45957</v>
      </c>
      <c r="C149" t="s">
        <v>27</v>
      </c>
      <c r="D149" t="s">
        <v>28</v>
      </c>
      <c r="E149" t="s">
        <v>23</v>
      </c>
      <c r="F149" t="s">
        <v>15</v>
      </c>
      <c r="G149">
        <v>1</v>
      </c>
      <c r="H149" s="3">
        <v>62308.959999999999</v>
      </c>
      <c r="I149" s="4">
        <v>0.03</v>
      </c>
      <c r="J149" s="3">
        <v>60439.69</v>
      </c>
    </row>
    <row r="150" spans="1:10" x14ac:dyDescent="0.35">
      <c r="A150">
        <v>149</v>
      </c>
      <c r="B150" s="2">
        <v>45724</v>
      </c>
      <c r="C150" t="s">
        <v>34</v>
      </c>
      <c r="D150" t="s">
        <v>28</v>
      </c>
      <c r="E150" t="s">
        <v>23</v>
      </c>
      <c r="F150" t="s">
        <v>15</v>
      </c>
      <c r="G150">
        <v>5</v>
      </c>
      <c r="H150" s="3">
        <v>67794</v>
      </c>
      <c r="I150" s="4">
        <v>0.05</v>
      </c>
      <c r="J150" s="3">
        <v>322021.48</v>
      </c>
    </row>
    <row r="151" spans="1:10" x14ac:dyDescent="0.35">
      <c r="A151">
        <v>150</v>
      </c>
      <c r="B151" s="2">
        <v>45691</v>
      </c>
      <c r="C151" t="s">
        <v>34</v>
      </c>
      <c r="D151" t="s">
        <v>28</v>
      </c>
      <c r="E151" t="s">
        <v>29</v>
      </c>
      <c r="F151" t="s">
        <v>13</v>
      </c>
      <c r="G151">
        <v>2</v>
      </c>
      <c r="H151" s="3">
        <v>908.02</v>
      </c>
      <c r="I151" s="4">
        <v>0</v>
      </c>
      <c r="J151" s="3">
        <v>1816.03</v>
      </c>
    </row>
    <row r="152" spans="1:10" x14ac:dyDescent="0.35">
      <c r="A152">
        <v>151</v>
      </c>
      <c r="B152" s="2">
        <v>45663</v>
      </c>
      <c r="C152" t="s">
        <v>30</v>
      </c>
      <c r="D152" t="s">
        <v>22</v>
      </c>
      <c r="E152" t="s">
        <v>23</v>
      </c>
      <c r="F152" t="s">
        <v>15</v>
      </c>
      <c r="G152">
        <v>4</v>
      </c>
      <c r="H152" s="3">
        <v>61626.9</v>
      </c>
      <c r="I152" s="4">
        <v>0</v>
      </c>
      <c r="J152" s="3">
        <v>246507.62</v>
      </c>
    </row>
    <row r="153" spans="1:10" x14ac:dyDescent="0.35">
      <c r="A153">
        <v>152</v>
      </c>
      <c r="B153" s="2">
        <v>46022</v>
      </c>
      <c r="C153" t="s">
        <v>26</v>
      </c>
      <c r="D153" t="s">
        <v>11</v>
      </c>
      <c r="E153" t="s">
        <v>14</v>
      </c>
      <c r="F153" t="s">
        <v>15</v>
      </c>
      <c r="G153">
        <v>8</v>
      </c>
      <c r="H153" s="3">
        <v>17378.34</v>
      </c>
      <c r="I153" s="4">
        <v>0.05</v>
      </c>
      <c r="J153" s="3">
        <v>132075.37</v>
      </c>
    </row>
    <row r="154" spans="1:10" x14ac:dyDescent="0.35">
      <c r="A154">
        <v>153</v>
      </c>
      <c r="B154" s="2">
        <v>45855</v>
      </c>
      <c r="C154" t="s">
        <v>38</v>
      </c>
      <c r="D154" t="s">
        <v>11</v>
      </c>
      <c r="E154" t="s">
        <v>29</v>
      </c>
      <c r="F154" t="s">
        <v>13</v>
      </c>
      <c r="G154">
        <v>1</v>
      </c>
      <c r="H154" s="3">
        <v>813.99</v>
      </c>
      <c r="I154" s="4">
        <v>0.03</v>
      </c>
      <c r="J154" s="3">
        <v>789.57</v>
      </c>
    </row>
    <row r="155" spans="1:10" x14ac:dyDescent="0.35">
      <c r="A155">
        <v>154</v>
      </c>
      <c r="B155" s="2">
        <v>45752</v>
      </c>
      <c r="C155" t="s">
        <v>38</v>
      </c>
      <c r="D155" t="s">
        <v>11</v>
      </c>
      <c r="E155" t="s">
        <v>12</v>
      </c>
      <c r="F155" t="s">
        <v>13</v>
      </c>
      <c r="G155">
        <v>6</v>
      </c>
      <c r="H155" s="3">
        <v>1707.16</v>
      </c>
      <c r="I155" s="4">
        <v>0</v>
      </c>
      <c r="J155" s="3">
        <v>10242.969999999999</v>
      </c>
    </row>
    <row r="156" spans="1:10" x14ac:dyDescent="0.35">
      <c r="A156">
        <v>155</v>
      </c>
      <c r="B156" s="2">
        <v>45886</v>
      </c>
      <c r="C156" t="s">
        <v>16</v>
      </c>
      <c r="D156" t="s">
        <v>11</v>
      </c>
      <c r="E156" t="s">
        <v>23</v>
      </c>
      <c r="F156" t="s">
        <v>15</v>
      </c>
      <c r="G156">
        <v>7</v>
      </c>
      <c r="H156" s="3">
        <v>57484.58</v>
      </c>
      <c r="I156" s="4">
        <v>0</v>
      </c>
      <c r="J156" s="3">
        <v>402392.08</v>
      </c>
    </row>
    <row r="157" spans="1:10" x14ac:dyDescent="0.35">
      <c r="A157">
        <v>156</v>
      </c>
      <c r="B157" s="2">
        <v>45992</v>
      </c>
      <c r="C157" t="s">
        <v>26</v>
      </c>
      <c r="D157" t="s">
        <v>11</v>
      </c>
      <c r="E157" t="s">
        <v>25</v>
      </c>
      <c r="F157" t="s">
        <v>25</v>
      </c>
      <c r="G157">
        <v>2</v>
      </c>
      <c r="H157" s="3">
        <v>8251.31</v>
      </c>
      <c r="I157" s="4">
        <v>0.05</v>
      </c>
      <c r="J157" s="3">
        <v>15677.49</v>
      </c>
    </row>
    <row r="158" spans="1:10" x14ac:dyDescent="0.35">
      <c r="A158">
        <v>157</v>
      </c>
      <c r="B158" s="2">
        <v>45719</v>
      </c>
      <c r="C158" t="s">
        <v>38</v>
      </c>
      <c r="D158" t="s">
        <v>11</v>
      </c>
      <c r="E158" t="s">
        <v>25</v>
      </c>
      <c r="F158" t="s">
        <v>25</v>
      </c>
      <c r="G158">
        <v>1</v>
      </c>
      <c r="H158" s="3">
        <v>7901.21</v>
      </c>
      <c r="I158" s="4">
        <v>0.05</v>
      </c>
      <c r="J158" s="3">
        <v>7506.15</v>
      </c>
    </row>
    <row r="159" spans="1:10" x14ac:dyDescent="0.35">
      <c r="A159">
        <v>158</v>
      </c>
      <c r="B159" s="2">
        <v>45830</v>
      </c>
      <c r="C159" t="s">
        <v>34</v>
      </c>
      <c r="D159" t="s">
        <v>28</v>
      </c>
      <c r="E159" t="s">
        <v>14</v>
      </c>
      <c r="F159" t="s">
        <v>15</v>
      </c>
      <c r="G159">
        <v>7</v>
      </c>
      <c r="H159" s="3">
        <v>17899</v>
      </c>
      <c r="I159" s="4">
        <v>0.05</v>
      </c>
      <c r="J159" s="3">
        <v>119028.32</v>
      </c>
    </row>
    <row r="160" spans="1:10" x14ac:dyDescent="0.35">
      <c r="A160">
        <v>159</v>
      </c>
      <c r="B160" s="2">
        <v>45869</v>
      </c>
      <c r="C160" t="s">
        <v>21</v>
      </c>
      <c r="D160" t="s">
        <v>22</v>
      </c>
      <c r="E160" t="s">
        <v>29</v>
      </c>
      <c r="F160" t="s">
        <v>13</v>
      </c>
      <c r="G160">
        <v>6</v>
      </c>
      <c r="H160" s="3">
        <v>945.57</v>
      </c>
      <c r="I160" s="4">
        <v>0.1</v>
      </c>
      <c r="J160" s="3">
        <v>5106.05</v>
      </c>
    </row>
    <row r="161" spans="1:10" x14ac:dyDescent="0.35">
      <c r="A161">
        <v>160</v>
      </c>
      <c r="B161" s="2">
        <v>45799</v>
      </c>
      <c r="C161" t="s">
        <v>32</v>
      </c>
      <c r="D161" t="s">
        <v>20</v>
      </c>
      <c r="E161" t="s">
        <v>12</v>
      </c>
      <c r="F161" t="s">
        <v>13</v>
      </c>
      <c r="G161">
        <v>1</v>
      </c>
      <c r="H161" s="3">
        <v>1889.52</v>
      </c>
      <c r="I161" s="4">
        <v>0.05</v>
      </c>
      <c r="J161" s="3">
        <v>1795.05</v>
      </c>
    </row>
    <row r="162" spans="1:10" x14ac:dyDescent="0.35">
      <c r="A162">
        <v>161</v>
      </c>
      <c r="B162" s="2">
        <v>45990</v>
      </c>
      <c r="C162" t="s">
        <v>24</v>
      </c>
      <c r="D162" t="s">
        <v>22</v>
      </c>
      <c r="E162" t="s">
        <v>25</v>
      </c>
      <c r="F162" t="s">
        <v>25</v>
      </c>
      <c r="G162">
        <v>5</v>
      </c>
      <c r="H162" s="3">
        <v>8277.6299999999992</v>
      </c>
      <c r="I162" s="4">
        <v>0.05</v>
      </c>
      <c r="J162" s="3">
        <v>39318.720000000001</v>
      </c>
    </row>
    <row r="163" spans="1:10" x14ac:dyDescent="0.35">
      <c r="A163">
        <v>162</v>
      </c>
      <c r="B163" s="2">
        <v>45918</v>
      </c>
      <c r="C163" t="s">
        <v>33</v>
      </c>
      <c r="D163" t="s">
        <v>28</v>
      </c>
      <c r="E163" t="s">
        <v>17</v>
      </c>
      <c r="F163" t="s">
        <v>18</v>
      </c>
      <c r="G163">
        <v>1</v>
      </c>
      <c r="H163" s="3">
        <v>11868.29</v>
      </c>
      <c r="I163" s="4">
        <v>0.03</v>
      </c>
      <c r="J163" s="3">
        <v>11512.24</v>
      </c>
    </row>
    <row r="164" spans="1:10" x14ac:dyDescent="0.35">
      <c r="A164">
        <v>163</v>
      </c>
      <c r="B164" s="2">
        <v>45741</v>
      </c>
      <c r="C164" t="s">
        <v>10</v>
      </c>
      <c r="D164" t="s">
        <v>11</v>
      </c>
      <c r="E164" t="s">
        <v>14</v>
      </c>
      <c r="F164" t="s">
        <v>15</v>
      </c>
      <c r="G164">
        <v>4</v>
      </c>
      <c r="H164" s="3">
        <v>18797.349999999999</v>
      </c>
      <c r="I164" s="4">
        <v>0.03</v>
      </c>
      <c r="J164" s="3">
        <v>72933.710000000006</v>
      </c>
    </row>
    <row r="165" spans="1:10" x14ac:dyDescent="0.35">
      <c r="A165">
        <v>164</v>
      </c>
      <c r="B165" s="2">
        <v>45695</v>
      </c>
      <c r="C165" t="s">
        <v>32</v>
      </c>
      <c r="D165" t="s">
        <v>20</v>
      </c>
      <c r="E165" t="s">
        <v>29</v>
      </c>
      <c r="F165" t="s">
        <v>13</v>
      </c>
      <c r="G165">
        <v>1</v>
      </c>
      <c r="H165" s="3">
        <v>920.66</v>
      </c>
      <c r="I165" s="4">
        <v>0.08</v>
      </c>
      <c r="J165" s="3">
        <v>847.01</v>
      </c>
    </row>
    <row r="166" spans="1:10" x14ac:dyDescent="0.35">
      <c r="A166">
        <v>165</v>
      </c>
      <c r="B166" s="2">
        <v>45893</v>
      </c>
      <c r="C166" t="s">
        <v>10</v>
      </c>
      <c r="D166" t="s">
        <v>11</v>
      </c>
      <c r="E166" t="s">
        <v>17</v>
      </c>
      <c r="F166" t="s">
        <v>18</v>
      </c>
      <c r="G166">
        <v>6</v>
      </c>
      <c r="H166" s="3">
        <v>13010.1</v>
      </c>
      <c r="I166" s="4">
        <v>0</v>
      </c>
      <c r="J166" s="3">
        <v>78060.570000000007</v>
      </c>
    </row>
    <row r="167" spans="1:10" x14ac:dyDescent="0.35">
      <c r="A167">
        <v>166</v>
      </c>
      <c r="B167" s="2">
        <v>45733</v>
      </c>
      <c r="C167" t="s">
        <v>19</v>
      </c>
      <c r="D167" t="s">
        <v>20</v>
      </c>
      <c r="E167" t="s">
        <v>25</v>
      </c>
      <c r="F167" t="s">
        <v>25</v>
      </c>
      <c r="G167">
        <v>5</v>
      </c>
      <c r="H167" s="3">
        <v>8289.01</v>
      </c>
      <c r="I167" s="4">
        <v>0.08</v>
      </c>
      <c r="J167" s="3">
        <v>38129.46</v>
      </c>
    </row>
    <row r="168" spans="1:10" x14ac:dyDescent="0.35">
      <c r="A168">
        <v>167</v>
      </c>
      <c r="B168" s="2">
        <v>45977</v>
      </c>
      <c r="C168" t="s">
        <v>36</v>
      </c>
      <c r="D168" t="s">
        <v>20</v>
      </c>
      <c r="E168" t="s">
        <v>17</v>
      </c>
      <c r="F168" t="s">
        <v>18</v>
      </c>
      <c r="G168">
        <v>1</v>
      </c>
      <c r="H168" s="3">
        <v>12214.48</v>
      </c>
      <c r="I168" s="4">
        <v>0.08</v>
      </c>
      <c r="J168" s="3">
        <v>11237.32</v>
      </c>
    </row>
    <row r="169" spans="1:10" x14ac:dyDescent="0.35">
      <c r="A169">
        <v>168</v>
      </c>
      <c r="B169" s="2">
        <v>45948</v>
      </c>
      <c r="C169" t="s">
        <v>35</v>
      </c>
      <c r="D169" t="s">
        <v>22</v>
      </c>
      <c r="E169" t="s">
        <v>17</v>
      </c>
      <c r="F169" t="s">
        <v>18</v>
      </c>
      <c r="G169">
        <v>1</v>
      </c>
      <c r="H169" s="3">
        <v>12862.67</v>
      </c>
      <c r="I169" s="4">
        <v>0.08</v>
      </c>
      <c r="J169" s="3">
        <v>11833.65</v>
      </c>
    </row>
    <row r="170" spans="1:10" x14ac:dyDescent="0.35">
      <c r="A170">
        <v>169</v>
      </c>
      <c r="B170" s="2">
        <v>45719</v>
      </c>
      <c r="C170" t="s">
        <v>37</v>
      </c>
      <c r="D170" t="s">
        <v>11</v>
      </c>
      <c r="E170" t="s">
        <v>29</v>
      </c>
      <c r="F170" t="s">
        <v>13</v>
      </c>
      <c r="G170">
        <v>5</v>
      </c>
      <c r="H170" s="3">
        <v>928.89</v>
      </c>
      <c r="I170" s="4">
        <v>0.03</v>
      </c>
      <c r="J170" s="3">
        <v>4505.13</v>
      </c>
    </row>
    <row r="171" spans="1:10" x14ac:dyDescent="0.35">
      <c r="A171">
        <v>170</v>
      </c>
      <c r="B171" s="2">
        <v>45985</v>
      </c>
      <c r="C171" t="s">
        <v>26</v>
      </c>
      <c r="D171" t="s">
        <v>11</v>
      </c>
      <c r="E171" t="s">
        <v>23</v>
      </c>
      <c r="F171" t="s">
        <v>15</v>
      </c>
      <c r="G171">
        <v>5</v>
      </c>
      <c r="H171" s="3">
        <v>67854.52</v>
      </c>
      <c r="I171" s="4">
        <v>0.05</v>
      </c>
      <c r="J171" s="3">
        <v>322308.96999999997</v>
      </c>
    </row>
    <row r="172" spans="1:10" x14ac:dyDescent="0.35">
      <c r="A172">
        <v>171</v>
      </c>
      <c r="B172" s="2">
        <v>45680</v>
      </c>
      <c r="C172" t="s">
        <v>10</v>
      </c>
      <c r="D172" t="s">
        <v>11</v>
      </c>
      <c r="E172" t="s">
        <v>25</v>
      </c>
      <c r="F172" t="s">
        <v>25</v>
      </c>
      <c r="G172">
        <v>8</v>
      </c>
      <c r="H172" s="3">
        <v>7142.48</v>
      </c>
      <c r="I172" s="4">
        <v>0.05</v>
      </c>
      <c r="J172" s="3">
        <v>54282.85</v>
      </c>
    </row>
    <row r="173" spans="1:10" x14ac:dyDescent="0.35">
      <c r="A173">
        <v>172</v>
      </c>
      <c r="B173" s="2">
        <v>45966</v>
      </c>
      <c r="C173" t="s">
        <v>30</v>
      </c>
      <c r="D173" t="s">
        <v>22</v>
      </c>
      <c r="E173" t="s">
        <v>23</v>
      </c>
      <c r="F173" t="s">
        <v>15</v>
      </c>
      <c r="G173">
        <v>1</v>
      </c>
      <c r="H173" s="3">
        <v>63307.12</v>
      </c>
      <c r="I173" s="4">
        <v>0.03</v>
      </c>
      <c r="J173" s="3">
        <v>61407.91</v>
      </c>
    </row>
    <row r="174" spans="1:10" x14ac:dyDescent="0.35">
      <c r="A174">
        <v>173</v>
      </c>
      <c r="B174" s="2">
        <v>45836</v>
      </c>
      <c r="C174" t="s">
        <v>16</v>
      </c>
      <c r="D174" t="s">
        <v>11</v>
      </c>
      <c r="E174" t="s">
        <v>17</v>
      </c>
      <c r="F174" t="s">
        <v>18</v>
      </c>
      <c r="G174">
        <v>7</v>
      </c>
      <c r="H174" s="3">
        <v>13266.72</v>
      </c>
      <c r="I174" s="4">
        <v>0</v>
      </c>
      <c r="J174" s="3">
        <v>92867.02</v>
      </c>
    </row>
    <row r="175" spans="1:10" x14ac:dyDescent="0.35">
      <c r="A175">
        <v>174</v>
      </c>
      <c r="B175" s="2">
        <v>45946</v>
      </c>
      <c r="C175" t="s">
        <v>16</v>
      </c>
      <c r="D175" t="s">
        <v>11</v>
      </c>
      <c r="E175" t="s">
        <v>14</v>
      </c>
      <c r="F175" t="s">
        <v>15</v>
      </c>
      <c r="G175">
        <v>8</v>
      </c>
      <c r="H175" s="3">
        <v>19635.68</v>
      </c>
      <c r="I175" s="4">
        <v>0</v>
      </c>
      <c r="J175" s="3">
        <v>157085.42000000001</v>
      </c>
    </row>
    <row r="176" spans="1:10" x14ac:dyDescent="0.35">
      <c r="A176">
        <v>175</v>
      </c>
      <c r="B176" s="2">
        <v>45754</v>
      </c>
      <c r="C176" t="s">
        <v>26</v>
      </c>
      <c r="D176" t="s">
        <v>11</v>
      </c>
      <c r="E176" t="s">
        <v>25</v>
      </c>
      <c r="F176" t="s">
        <v>25</v>
      </c>
      <c r="G176">
        <v>7</v>
      </c>
      <c r="H176" s="3">
        <v>8395.85</v>
      </c>
      <c r="I176" s="4">
        <v>0.05</v>
      </c>
      <c r="J176" s="3">
        <v>55832.38</v>
      </c>
    </row>
    <row r="177" spans="1:10" x14ac:dyDescent="0.35">
      <c r="A177">
        <v>176</v>
      </c>
      <c r="B177" s="2">
        <v>45743</v>
      </c>
      <c r="C177" t="s">
        <v>35</v>
      </c>
      <c r="D177" t="s">
        <v>22</v>
      </c>
      <c r="E177" t="s">
        <v>29</v>
      </c>
      <c r="F177" t="s">
        <v>13</v>
      </c>
      <c r="G177">
        <v>3</v>
      </c>
      <c r="H177" s="3">
        <v>799.24</v>
      </c>
      <c r="I177" s="4">
        <v>0.08</v>
      </c>
      <c r="J177" s="3">
        <v>2205.91</v>
      </c>
    </row>
    <row r="178" spans="1:10" x14ac:dyDescent="0.35">
      <c r="A178">
        <v>177</v>
      </c>
      <c r="B178" s="2">
        <v>45951</v>
      </c>
      <c r="C178" t="s">
        <v>19</v>
      </c>
      <c r="D178" t="s">
        <v>20</v>
      </c>
      <c r="E178" t="s">
        <v>14</v>
      </c>
      <c r="F178" t="s">
        <v>15</v>
      </c>
      <c r="G178">
        <v>5</v>
      </c>
      <c r="H178" s="3">
        <v>17317.79</v>
      </c>
      <c r="I178" s="4">
        <v>0.08</v>
      </c>
      <c r="J178" s="3">
        <v>79661.850000000006</v>
      </c>
    </row>
    <row r="179" spans="1:10" x14ac:dyDescent="0.35">
      <c r="A179">
        <v>178</v>
      </c>
      <c r="B179" s="2">
        <v>45814</v>
      </c>
      <c r="C179" t="s">
        <v>35</v>
      </c>
      <c r="D179" t="s">
        <v>22</v>
      </c>
      <c r="E179" t="s">
        <v>12</v>
      </c>
      <c r="F179" t="s">
        <v>13</v>
      </c>
      <c r="G179">
        <v>5</v>
      </c>
      <c r="H179" s="3">
        <v>1755.63</v>
      </c>
      <c r="I179" s="4">
        <v>0</v>
      </c>
      <c r="J179" s="3">
        <v>8778.14</v>
      </c>
    </row>
    <row r="180" spans="1:10" x14ac:dyDescent="0.35">
      <c r="A180">
        <v>179</v>
      </c>
      <c r="B180" s="2">
        <v>45787</v>
      </c>
      <c r="C180" t="s">
        <v>16</v>
      </c>
      <c r="D180" t="s">
        <v>11</v>
      </c>
      <c r="E180" t="s">
        <v>29</v>
      </c>
      <c r="F180" t="s">
        <v>13</v>
      </c>
      <c r="G180">
        <v>5</v>
      </c>
      <c r="H180" s="3">
        <v>948.01</v>
      </c>
      <c r="I180" s="4">
        <v>0.03</v>
      </c>
      <c r="J180" s="3">
        <v>4597.83</v>
      </c>
    </row>
    <row r="181" spans="1:10" x14ac:dyDescent="0.35">
      <c r="A181">
        <v>180</v>
      </c>
      <c r="B181" s="2">
        <v>45940</v>
      </c>
      <c r="C181" t="s">
        <v>33</v>
      </c>
      <c r="D181" t="s">
        <v>28</v>
      </c>
      <c r="E181" t="s">
        <v>17</v>
      </c>
      <c r="F181" t="s">
        <v>18</v>
      </c>
      <c r="G181">
        <v>3</v>
      </c>
      <c r="H181" s="3">
        <v>12622.6</v>
      </c>
      <c r="I181" s="4">
        <v>0.05</v>
      </c>
      <c r="J181" s="3">
        <v>35974.400000000001</v>
      </c>
    </row>
    <row r="182" spans="1:10" x14ac:dyDescent="0.35">
      <c r="A182">
        <v>181</v>
      </c>
      <c r="B182" s="2">
        <v>45791</v>
      </c>
      <c r="C182" t="s">
        <v>37</v>
      </c>
      <c r="D182" t="s">
        <v>11</v>
      </c>
      <c r="E182" t="s">
        <v>12</v>
      </c>
      <c r="F182" t="s">
        <v>13</v>
      </c>
      <c r="G182">
        <v>3</v>
      </c>
      <c r="H182" s="3">
        <v>1731.97</v>
      </c>
      <c r="I182" s="4">
        <v>0.1</v>
      </c>
      <c r="J182" s="3">
        <v>4676.32</v>
      </c>
    </row>
    <row r="183" spans="1:10" x14ac:dyDescent="0.35">
      <c r="A183">
        <v>182</v>
      </c>
      <c r="B183" s="2">
        <v>45761</v>
      </c>
      <c r="C183" t="s">
        <v>16</v>
      </c>
      <c r="D183" t="s">
        <v>11</v>
      </c>
      <c r="E183" t="s">
        <v>14</v>
      </c>
      <c r="F183" t="s">
        <v>15</v>
      </c>
      <c r="G183">
        <v>6</v>
      </c>
      <c r="H183" s="3">
        <v>19779.2</v>
      </c>
      <c r="I183" s="4">
        <v>0.05</v>
      </c>
      <c r="J183" s="3">
        <v>112741.45</v>
      </c>
    </row>
    <row r="184" spans="1:10" x14ac:dyDescent="0.35">
      <c r="A184">
        <v>183</v>
      </c>
      <c r="B184" s="2">
        <v>45828</v>
      </c>
      <c r="C184" t="s">
        <v>31</v>
      </c>
      <c r="D184" t="s">
        <v>22</v>
      </c>
      <c r="E184" t="s">
        <v>14</v>
      </c>
      <c r="F184" t="s">
        <v>15</v>
      </c>
      <c r="G184">
        <v>1</v>
      </c>
      <c r="H184" s="3">
        <v>18976.73</v>
      </c>
      <c r="I184" s="4">
        <v>0.03</v>
      </c>
      <c r="J184" s="3">
        <v>18407.43</v>
      </c>
    </row>
    <row r="185" spans="1:10" x14ac:dyDescent="0.35">
      <c r="A185">
        <v>184</v>
      </c>
      <c r="B185" s="2">
        <v>45950</v>
      </c>
      <c r="C185" t="s">
        <v>21</v>
      </c>
      <c r="D185" t="s">
        <v>22</v>
      </c>
      <c r="E185" t="s">
        <v>12</v>
      </c>
      <c r="F185" t="s">
        <v>13</v>
      </c>
      <c r="G185">
        <v>4</v>
      </c>
      <c r="H185" s="3">
        <v>1925.32</v>
      </c>
      <c r="I185" s="4">
        <v>0.1</v>
      </c>
      <c r="J185" s="3">
        <v>6931.14</v>
      </c>
    </row>
    <row r="186" spans="1:10" x14ac:dyDescent="0.35">
      <c r="A186">
        <v>185</v>
      </c>
      <c r="B186" s="2">
        <v>45708</v>
      </c>
      <c r="C186" t="s">
        <v>16</v>
      </c>
      <c r="D186" t="s">
        <v>11</v>
      </c>
      <c r="E186" t="s">
        <v>14</v>
      </c>
      <c r="F186" t="s">
        <v>15</v>
      </c>
      <c r="G186">
        <v>1</v>
      </c>
      <c r="H186" s="3">
        <v>18461.009999999998</v>
      </c>
      <c r="I186" s="4">
        <v>0.05</v>
      </c>
      <c r="J186" s="3">
        <v>17537.96</v>
      </c>
    </row>
    <row r="187" spans="1:10" x14ac:dyDescent="0.35">
      <c r="A187">
        <v>186</v>
      </c>
      <c r="B187" s="2">
        <v>45914</v>
      </c>
      <c r="C187" t="s">
        <v>35</v>
      </c>
      <c r="D187" t="s">
        <v>22</v>
      </c>
      <c r="E187" t="s">
        <v>25</v>
      </c>
      <c r="F187" t="s">
        <v>25</v>
      </c>
      <c r="G187">
        <v>8</v>
      </c>
      <c r="H187" s="3">
        <v>8239.24</v>
      </c>
      <c r="I187" s="4">
        <v>0.08</v>
      </c>
      <c r="J187" s="3">
        <v>60640.77</v>
      </c>
    </row>
    <row r="188" spans="1:10" x14ac:dyDescent="0.35">
      <c r="A188">
        <v>187</v>
      </c>
      <c r="B188" s="2">
        <v>45970</v>
      </c>
      <c r="C188" t="s">
        <v>31</v>
      </c>
      <c r="D188" t="s">
        <v>22</v>
      </c>
      <c r="E188" t="s">
        <v>29</v>
      </c>
      <c r="F188" t="s">
        <v>13</v>
      </c>
      <c r="G188">
        <v>5</v>
      </c>
      <c r="H188" s="3">
        <v>832.25</v>
      </c>
      <c r="I188" s="4">
        <v>0</v>
      </c>
      <c r="J188" s="3">
        <v>4161.2299999999996</v>
      </c>
    </row>
    <row r="189" spans="1:10" x14ac:dyDescent="0.35">
      <c r="A189">
        <v>188</v>
      </c>
      <c r="B189" s="2">
        <v>45966</v>
      </c>
      <c r="C189" t="s">
        <v>32</v>
      </c>
      <c r="D189" t="s">
        <v>20</v>
      </c>
      <c r="E189" t="s">
        <v>25</v>
      </c>
      <c r="F189" t="s">
        <v>25</v>
      </c>
      <c r="G189">
        <v>7</v>
      </c>
      <c r="H189" s="3">
        <v>7694.21</v>
      </c>
      <c r="I189" s="4">
        <v>0.03</v>
      </c>
      <c r="J189" s="3">
        <v>52243.69</v>
      </c>
    </row>
    <row r="190" spans="1:10" x14ac:dyDescent="0.35">
      <c r="A190">
        <v>189</v>
      </c>
      <c r="B190" s="2">
        <v>45948</v>
      </c>
      <c r="C190" t="s">
        <v>34</v>
      </c>
      <c r="D190" t="s">
        <v>28</v>
      </c>
      <c r="E190" t="s">
        <v>14</v>
      </c>
      <c r="F190" t="s">
        <v>15</v>
      </c>
      <c r="G190">
        <v>4</v>
      </c>
      <c r="H190" s="3">
        <v>18448.080000000002</v>
      </c>
      <c r="I190" s="4">
        <v>0.08</v>
      </c>
      <c r="J190" s="3">
        <v>67888.92</v>
      </c>
    </row>
    <row r="191" spans="1:10" x14ac:dyDescent="0.35">
      <c r="A191">
        <v>190</v>
      </c>
      <c r="B191" s="2">
        <v>45867</v>
      </c>
      <c r="C191" t="s">
        <v>30</v>
      </c>
      <c r="D191" t="s">
        <v>22</v>
      </c>
      <c r="E191" t="s">
        <v>12</v>
      </c>
      <c r="F191" t="s">
        <v>13</v>
      </c>
      <c r="G191">
        <v>1</v>
      </c>
      <c r="H191" s="3">
        <v>1982.72</v>
      </c>
      <c r="I191" s="4">
        <v>0.08</v>
      </c>
      <c r="J191" s="3">
        <v>1824.1</v>
      </c>
    </row>
    <row r="192" spans="1:10" x14ac:dyDescent="0.35">
      <c r="A192">
        <v>191</v>
      </c>
      <c r="B192" s="2">
        <v>46021</v>
      </c>
      <c r="C192" t="s">
        <v>33</v>
      </c>
      <c r="D192" t="s">
        <v>28</v>
      </c>
      <c r="E192" t="s">
        <v>14</v>
      </c>
      <c r="F192" t="s">
        <v>15</v>
      </c>
      <c r="G192">
        <v>3</v>
      </c>
      <c r="H192" s="3">
        <v>16810.29</v>
      </c>
      <c r="I192" s="4">
        <v>0.05</v>
      </c>
      <c r="J192" s="3">
        <v>47909.33</v>
      </c>
    </row>
    <row r="193" spans="1:10" x14ac:dyDescent="0.35">
      <c r="A193">
        <v>192</v>
      </c>
      <c r="B193" s="2">
        <v>45855</v>
      </c>
      <c r="C193" t="s">
        <v>33</v>
      </c>
      <c r="D193" t="s">
        <v>28</v>
      </c>
      <c r="E193" t="s">
        <v>17</v>
      </c>
      <c r="F193" t="s">
        <v>18</v>
      </c>
      <c r="G193">
        <v>6</v>
      </c>
      <c r="H193" s="3">
        <v>11995.3</v>
      </c>
      <c r="I193" s="4">
        <v>0</v>
      </c>
      <c r="J193" s="3">
        <v>71971.8</v>
      </c>
    </row>
    <row r="194" spans="1:10" x14ac:dyDescent="0.35">
      <c r="A194">
        <v>193</v>
      </c>
      <c r="B194" s="2">
        <v>45811</v>
      </c>
      <c r="C194" t="s">
        <v>37</v>
      </c>
      <c r="D194" t="s">
        <v>11</v>
      </c>
      <c r="E194" t="s">
        <v>23</v>
      </c>
      <c r="F194" t="s">
        <v>15</v>
      </c>
      <c r="G194">
        <v>1</v>
      </c>
      <c r="H194" s="3">
        <v>61530.36</v>
      </c>
      <c r="I194" s="4">
        <v>0.08</v>
      </c>
      <c r="J194" s="3">
        <v>56607.93</v>
      </c>
    </row>
    <row r="195" spans="1:10" x14ac:dyDescent="0.35">
      <c r="A195">
        <v>194</v>
      </c>
      <c r="B195" s="2">
        <v>46018</v>
      </c>
      <c r="C195" t="s">
        <v>21</v>
      </c>
      <c r="D195" t="s">
        <v>22</v>
      </c>
      <c r="E195" t="s">
        <v>14</v>
      </c>
      <c r="F195" t="s">
        <v>15</v>
      </c>
      <c r="G195">
        <v>5</v>
      </c>
      <c r="H195" s="3">
        <v>20054.34</v>
      </c>
      <c r="I195" s="4">
        <v>0.05</v>
      </c>
      <c r="J195" s="3">
        <v>95258.11</v>
      </c>
    </row>
    <row r="196" spans="1:10" x14ac:dyDescent="0.35">
      <c r="A196">
        <v>195</v>
      </c>
      <c r="B196" s="2">
        <v>46017</v>
      </c>
      <c r="C196" t="s">
        <v>32</v>
      </c>
      <c r="D196" t="s">
        <v>20</v>
      </c>
      <c r="E196" t="s">
        <v>12</v>
      </c>
      <c r="F196" t="s">
        <v>13</v>
      </c>
      <c r="G196">
        <v>6</v>
      </c>
      <c r="H196" s="3">
        <v>1815.15</v>
      </c>
      <c r="I196" s="4">
        <v>0.08</v>
      </c>
      <c r="J196" s="3">
        <v>10019.629999999999</v>
      </c>
    </row>
    <row r="197" spans="1:10" x14ac:dyDescent="0.35">
      <c r="A197">
        <v>196</v>
      </c>
      <c r="B197" s="2">
        <v>45868</v>
      </c>
      <c r="C197" t="s">
        <v>32</v>
      </c>
      <c r="D197" t="s">
        <v>20</v>
      </c>
      <c r="E197" t="s">
        <v>23</v>
      </c>
      <c r="F197" t="s">
        <v>15</v>
      </c>
      <c r="G197">
        <v>8</v>
      </c>
      <c r="H197" s="3">
        <v>68899.38</v>
      </c>
      <c r="I197" s="4">
        <v>0</v>
      </c>
      <c r="J197" s="3">
        <v>551195.06999999995</v>
      </c>
    </row>
    <row r="198" spans="1:10" x14ac:dyDescent="0.35">
      <c r="A198">
        <v>197</v>
      </c>
      <c r="B198" s="2">
        <v>45801</v>
      </c>
      <c r="C198" t="s">
        <v>31</v>
      </c>
      <c r="D198" t="s">
        <v>22</v>
      </c>
      <c r="E198" t="s">
        <v>25</v>
      </c>
      <c r="F198" t="s">
        <v>25</v>
      </c>
      <c r="G198">
        <v>5</v>
      </c>
      <c r="H198" s="3">
        <v>7279.91</v>
      </c>
      <c r="I198" s="4">
        <v>0.05</v>
      </c>
      <c r="J198" s="3">
        <v>34579.56</v>
      </c>
    </row>
    <row r="199" spans="1:10" x14ac:dyDescent="0.35">
      <c r="A199">
        <v>198</v>
      </c>
      <c r="B199" s="2">
        <v>45851</v>
      </c>
      <c r="C199" t="s">
        <v>16</v>
      </c>
      <c r="D199" t="s">
        <v>11</v>
      </c>
      <c r="E199" t="s">
        <v>17</v>
      </c>
      <c r="F199" t="s">
        <v>18</v>
      </c>
      <c r="G199">
        <v>2</v>
      </c>
      <c r="H199" s="3">
        <v>12616.49</v>
      </c>
      <c r="I199" s="4">
        <v>0.03</v>
      </c>
      <c r="J199" s="3">
        <v>24475.99</v>
      </c>
    </row>
    <row r="200" spans="1:10" x14ac:dyDescent="0.35">
      <c r="A200">
        <v>199</v>
      </c>
      <c r="B200" s="2">
        <v>45976</v>
      </c>
      <c r="C200" t="s">
        <v>38</v>
      </c>
      <c r="D200" t="s">
        <v>11</v>
      </c>
      <c r="E200" t="s">
        <v>12</v>
      </c>
      <c r="F200" t="s">
        <v>13</v>
      </c>
      <c r="G200">
        <v>1</v>
      </c>
      <c r="H200" s="3">
        <v>1825.76</v>
      </c>
      <c r="I200" s="4">
        <v>0.05</v>
      </c>
      <c r="J200" s="3">
        <v>1734.48</v>
      </c>
    </row>
    <row r="201" spans="1:10" x14ac:dyDescent="0.35">
      <c r="A201">
        <v>200</v>
      </c>
      <c r="B201" s="2">
        <v>45945</v>
      </c>
      <c r="C201" t="s">
        <v>26</v>
      </c>
      <c r="D201" t="s">
        <v>11</v>
      </c>
      <c r="E201" t="s">
        <v>23</v>
      </c>
      <c r="F201" t="s">
        <v>15</v>
      </c>
      <c r="G201">
        <v>8</v>
      </c>
      <c r="H201" s="3">
        <v>71959.399999999994</v>
      </c>
      <c r="I201" s="4">
        <v>0.08</v>
      </c>
      <c r="J201" s="3">
        <v>529621.18999999994</v>
      </c>
    </row>
    <row r="202" spans="1:10" x14ac:dyDescent="0.35">
      <c r="A202">
        <v>201</v>
      </c>
      <c r="B202" s="2">
        <v>45744</v>
      </c>
      <c r="C202" t="s">
        <v>27</v>
      </c>
      <c r="D202" t="s">
        <v>28</v>
      </c>
      <c r="E202" t="s">
        <v>14</v>
      </c>
      <c r="F202" t="s">
        <v>15</v>
      </c>
      <c r="G202">
        <v>3</v>
      </c>
      <c r="H202" s="3">
        <v>17605.73</v>
      </c>
      <c r="I202" s="4">
        <v>0.05</v>
      </c>
      <c r="J202" s="3">
        <v>50176.34</v>
      </c>
    </row>
    <row r="203" spans="1:10" x14ac:dyDescent="0.35">
      <c r="A203">
        <v>202</v>
      </c>
      <c r="B203" s="2">
        <v>45978</v>
      </c>
      <c r="C203" t="s">
        <v>10</v>
      </c>
      <c r="D203" t="s">
        <v>11</v>
      </c>
      <c r="E203" t="s">
        <v>12</v>
      </c>
      <c r="F203" t="s">
        <v>13</v>
      </c>
      <c r="G203">
        <v>8</v>
      </c>
      <c r="H203" s="3">
        <v>1868.66</v>
      </c>
      <c r="I203" s="4">
        <v>0.08</v>
      </c>
      <c r="J203" s="3">
        <v>13753.3</v>
      </c>
    </row>
    <row r="204" spans="1:10" x14ac:dyDescent="0.35">
      <c r="A204">
        <v>203</v>
      </c>
      <c r="B204" s="2">
        <v>45985</v>
      </c>
      <c r="C204" t="s">
        <v>34</v>
      </c>
      <c r="D204" t="s">
        <v>28</v>
      </c>
      <c r="E204" t="s">
        <v>17</v>
      </c>
      <c r="F204" t="s">
        <v>18</v>
      </c>
      <c r="G204">
        <v>8</v>
      </c>
      <c r="H204" s="3">
        <v>12015.86</v>
      </c>
      <c r="I204" s="4">
        <v>0</v>
      </c>
      <c r="J204" s="3">
        <v>96126.9</v>
      </c>
    </row>
    <row r="205" spans="1:10" x14ac:dyDescent="0.35">
      <c r="A205">
        <v>204</v>
      </c>
      <c r="B205" s="2">
        <v>45749</v>
      </c>
      <c r="C205" t="s">
        <v>38</v>
      </c>
      <c r="D205" t="s">
        <v>11</v>
      </c>
      <c r="E205" t="s">
        <v>23</v>
      </c>
      <c r="F205" t="s">
        <v>15</v>
      </c>
      <c r="G205">
        <v>7</v>
      </c>
      <c r="H205" s="3">
        <v>71044.38</v>
      </c>
      <c r="I205" s="4">
        <v>0.05</v>
      </c>
      <c r="J205" s="3">
        <v>472445.15</v>
      </c>
    </row>
    <row r="206" spans="1:10" x14ac:dyDescent="0.35">
      <c r="A206">
        <v>205</v>
      </c>
      <c r="B206" s="2">
        <v>45777</v>
      </c>
      <c r="C206" t="s">
        <v>30</v>
      </c>
      <c r="D206" t="s">
        <v>22</v>
      </c>
      <c r="E206" t="s">
        <v>14</v>
      </c>
      <c r="F206" t="s">
        <v>15</v>
      </c>
      <c r="G206">
        <v>3</v>
      </c>
      <c r="H206" s="3">
        <v>18960.189999999999</v>
      </c>
      <c r="I206" s="4">
        <v>0.03</v>
      </c>
      <c r="J206" s="3">
        <v>55174.16</v>
      </c>
    </row>
    <row r="207" spans="1:10" x14ac:dyDescent="0.35">
      <c r="A207">
        <v>206</v>
      </c>
      <c r="B207" s="2">
        <v>45880</v>
      </c>
      <c r="C207" t="s">
        <v>31</v>
      </c>
      <c r="D207" t="s">
        <v>22</v>
      </c>
      <c r="E207" t="s">
        <v>17</v>
      </c>
      <c r="F207" t="s">
        <v>18</v>
      </c>
      <c r="G207">
        <v>8</v>
      </c>
      <c r="H207" s="3">
        <v>12484.09</v>
      </c>
      <c r="I207" s="4">
        <v>0.03</v>
      </c>
      <c r="J207" s="3">
        <v>96876.5</v>
      </c>
    </row>
    <row r="208" spans="1:10" x14ac:dyDescent="0.35">
      <c r="A208">
        <v>207</v>
      </c>
      <c r="B208" s="2">
        <v>45742</v>
      </c>
      <c r="C208" t="s">
        <v>10</v>
      </c>
      <c r="D208" t="s">
        <v>11</v>
      </c>
      <c r="E208" t="s">
        <v>14</v>
      </c>
      <c r="F208" t="s">
        <v>15</v>
      </c>
      <c r="G208">
        <v>7</v>
      </c>
      <c r="H208" s="3">
        <v>19019.11</v>
      </c>
      <c r="I208" s="4">
        <v>0.05</v>
      </c>
      <c r="J208" s="3">
        <v>126477.07</v>
      </c>
    </row>
    <row r="209" spans="1:10" x14ac:dyDescent="0.35">
      <c r="A209">
        <v>208</v>
      </c>
      <c r="B209" s="2">
        <v>45659</v>
      </c>
      <c r="C209" t="s">
        <v>36</v>
      </c>
      <c r="D209" t="s">
        <v>20</v>
      </c>
      <c r="E209" t="s">
        <v>29</v>
      </c>
      <c r="F209" t="s">
        <v>13</v>
      </c>
      <c r="G209">
        <v>3</v>
      </c>
      <c r="H209" s="3">
        <v>883.03</v>
      </c>
      <c r="I209" s="4">
        <v>0.05</v>
      </c>
      <c r="J209" s="3">
        <v>2516.63</v>
      </c>
    </row>
    <row r="210" spans="1:10" x14ac:dyDescent="0.35">
      <c r="A210">
        <v>209</v>
      </c>
      <c r="B210" s="2">
        <v>45852</v>
      </c>
      <c r="C210" t="s">
        <v>32</v>
      </c>
      <c r="D210" t="s">
        <v>20</v>
      </c>
      <c r="E210" t="s">
        <v>29</v>
      </c>
      <c r="F210" t="s">
        <v>13</v>
      </c>
      <c r="G210">
        <v>4</v>
      </c>
      <c r="H210" s="3">
        <v>970.22</v>
      </c>
      <c r="I210" s="4">
        <v>0.03</v>
      </c>
      <c r="J210" s="3">
        <v>3764.47</v>
      </c>
    </row>
    <row r="211" spans="1:10" x14ac:dyDescent="0.35">
      <c r="A211">
        <v>210</v>
      </c>
      <c r="B211" s="2">
        <v>45879</v>
      </c>
      <c r="C211" t="s">
        <v>10</v>
      </c>
      <c r="D211" t="s">
        <v>11</v>
      </c>
      <c r="E211" t="s">
        <v>12</v>
      </c>
      <c r="F211" t="s">
        <v>13</v>
      </c>
      <c r="G211">
        <v>4</v>
      </c>
      <c r="H211" s="3">
        <v>1760.87</v>
      </c>
      <c r="I211" s="4">
        <v>0.05</v>
      </c>
      <c r="J211" s="3">
        <v>6691.29</v>
      </c>
    </row>
    <row r="212" spans="1:10" x14ac:dyDescent="0.35">
      <c r="A212">
        <v>211</v>
      </c>
      <c r="B212" s="2">
        <v>45999</v>
      </c>
      <c r="C212" t="s">
        <v>34</v>
      </c>
      <c r="D212" t="s">
        <v>28</v>
      </c>
      <c r="E212" t="s">
        <v>14</v>
      </c>
      <c r="F212" t="s">
        <v>15</v>
      </c>
      <c r="G212">
        <v>5</v>
      </c>
      <c r="H212" s="3">
        <v>19937.32</v>
      </c>
      <c r="I212" s="4">
        <v>0.03</v>
      </c>
      <c r="J212" s="3">
        <v>96695.99</v>
      </c>
    </row>
    <row r="213" spans="1:10" x14ac:dyDescent="0.35">
      <c r="A213">
        <v>212</v>
      </c>
      <c r="B213" s="2">
        <v>45872</v>
      </c>
      <c r="C213" t="s">
        <v>21</v>
      </c>
      <c r="D213" t="s">
        <v>22</v>
      </c>
      <c r="E213" t="s">
        <v>23</v>
      </c>
      <c r="F213" t="s">
        <v>15</v>
      </c>
      <c r="G213">
        <v>2</v>
      </c>
      <c r="H213" s="3">
        <v>72571.73</v>
      </c>
      <c r="I213" s="4">
        <v>0.05</v>
      </c>
      <c r="J213" s="3">
        <v>137886.29</v>
      </c>
    </row>
    <row r="214" spans="1:10" x14ac:dyDescent="0.35">
      <c r="A214">
        <v>213</v>
      </c>
      <c r="B214" s="2">
        <v>45697</v>
      </c>
      <c r="C214" t="s">
        <v>24</v>
      </c>
      <c r="D214" t="s">
        <v>22</v>
      </c>
      <c r="E214" t="s">
        <v>23</v>
      </c>
      <c r="F214" t="s">
        <v>15</v>
      </c>
      <c r="G214">
        <v>2</v>
      </c>
      <c r="H214" s="3">
        <v>61391.37</v>
      </c>
      <c r="I214" s="4">
        <v>0</v>
      </c>
      <c r="J214" s="3">
        <v>122782.73</v>
      </c>
    </row>
    <row r="215" spans="1:10" x14ac:dyDescent="0.35">
      <c r="A215">
        <v>214</v>
      </c>
      <c r="B215" s="2">
        <v>45892</v>
      </c>
      <c r="C215" t="s">
        <v>19</v>
      </c>
      <c r="D215" t="s">
        <v>20</v>
      </c>
      <c r="E215" t="s">
        <v>29</v>
      </c>
      <c r="F215" t="s">
        <v>13</v>
      </c>
      <c r="G215">
        <v>1</v>
      </c>
      <c r="H215" s="3">
        <v>822.1</v>
      </c>
      <c r="I215" s="4">
        <v>0.03</v>
      </c>
      <c r="J215" s="3">
        <v>797.44</v>
      </c>
    </row>
    <row r="216" spans="1:10" x14ac:dyDescent="0.35">
      <c r="A216">
        <v>215</v>
      </c>
      <c r="B216" s="2">
        <v>45872</v>
      </c>
      <c r="C216" t="s">
        <v>31</v>
      </c>
      <c r="D216" t="s">
        <v>22</v>
      </c>
      <c r="E216" t="s">
        <v>12</v>
      </c>
      <c r="F216" t="s">
        <v>13</v>
      </c>
      <c r="G216">
        <v>2</v>
      </c>
      <c r="H216" s="3">
        <v>1658.17</v>
      </c>
      <c r="I216" s="4">
        <v>0.05</v>
      </c>
      <c r="J216" s="3">
        <v>3150.51</v>
      </c>
    </row>
    <row r="217" spans="1:10" x14ac:dyDescent="0.35">
      <c r="A217">
        <v>216</v>
      </c>
      <c r="B217" s="2">
        <v>46013</v>
      </c>
      <c r="C217" t="s">
        <v>37</v>
      </c>
      <c r="D217" t="s">
        <v>11</v>
      </c>
      <c r="E217" t="s">
        <v>17</v>
      </c>
      <c r="F217" t="s">
        <v>18</v>
      </c>
      <c r="G217">
        <v>6</v>
      </c>
      <c r="H217" s="3">
        <v>10899.12</v>
      </c>
      <c r="I217" s="4">
        <v>0.1</v>
      </c>
      <c r="J217" s="3">
        <v>58855.26</v>
      </c>
    </row>
    <row r="218" spans="1:10" x14ac:dyDescent="0.35">
      <c r="A218">
        <v>217</v>
      </c>
      <c r="B218" s="2">
        <v>45733</v>
      </c>
      <c r="C218" t="s">
        <v>34</v>
      </c>
      <c r="D218" t="s">
        <v>28</v>
      </c>
      <c r="E218" t="s">
        <v>25</v>
      </c>
      <c r="F218" t="s">
        <v>25</v>
      </c>
      <c r="G218">
        <v>2</v>
      </c>
      <c r="H218" s="3">
        <v>7772.56</v>
      </c>
      <c r="I218" s="4">
        <v>0.05</v>
      </c>
      <c r="J218" s="3">
        <v>14767.86</v>
      </c>
    </row>
    <row r="219" spans="1:10" x14ac:dyDescent="0.35">
      <c r="A219">
        <v>218</v>
      </c>
      <c r="B219" s="2">
        <v>45944</v>
      </c>
      <c r="C219" t="s">
        <v>10</v>
      </c>
      <c r="D219" t="s">
        <v>11</v>
      </c>
      <c r="E219" t="s">
        <v>29</v>
      </c>
      <c r="F219" t="s">
        <v>13</v>
      </c>
      <c r="G219">
        <v>2</v>
      </c>
      <c r="H219" s="3">
        <v>848.96</v>
      </c>
      <c r="I219" s="4">
        <v>0</v>
      </c>
      <c r="J219" s="3">
        <v>1697.91</v>
      </c>
    </row>
    <row r="220" spans="1:10" x14ac:dyDescent="0.35">
      <c r="A220">
        <v>219</v>
      </c>
      <c r="B220" s="2">
        <v>45966</v>
      </c>
      <c r="C220" t="s">
        <v>38</v>
      </c>
      <c r="D220" t="s">
        <v>11</v>
      </c>
      <c r="E220" t="s">
        <v>17</v>
      </c>
      <c r="F220" t="s">
        <v>18</v>
      </c>
      <c r="G220">
        <v>8</v>
      </c>
      <c r="H220" s="3">
        <v>12383.32</v>
      </c>
      <c r="I220" s="4">
        <v>0.03</v>
      </c>
      <c r="J220" s="3">
        <v>96094.58</v>
      </c>
    </row>
    <row r="221" spans="1:10" x14ac:dyDescent="0.35">
      <c r="A221">
        <v>220</v>
      </c>
      <c r="B221" s="2">
        <v>45847</v>
      </c>
      <c r="C221" t="s">
        <v>10</v>
      </c>
      <c r="D221" t="s">
        <v>11</v>
      </c>
      <c r="E221" t="s">
        <v>14</v>
      </c>
      <c r="F221" t="s">
        <v>15</v>
      </c>
      <c r="G221">
        <v>5</v>
      </c>
      <c r="H221" s="3">
        <v>17586.93</v>
      </c>
      <c r="I221" s="4">
        <v>0.08</v>
      </c>
      <c r="J221" s="3">
        <v>80899.87</v>
      </c>
    </row>
    <row r="222" spans="1:10" x14ac:dyDescent="0.35">
      <c r="A222">
        <v>221</v>
      </c>
      <c r="B222" s="2">
        <v>45850</v>
      </c>
      <c r="C222" t="s">
        <v>27</v>
      </c>
      <c r="D222" t="s">
        <v>28</v>
      </c>
      <c r="E222" t="s">
        <v>25</v>
      </c>
      <c r="F222" t="s">
        <v>25</v>
      </c>
      <c r="G222">
        <v>8</v>
      </c>
      <c r="H222" s="3">
        <v>8325.5300000000007</v>
      </c>
      <c r="I222" s="4">
        <v>0.03</v>
      </c>
      <c r="J222" s="3">
        <v>64606.1</v>
      </c>
    </row>
    <row r="223" spans="1:10" x14ac:dyDescent="0.35">
      <c r="A223">
        <v>222</v>
      </c>
      <c r="B223" s="2">
        <v>45924</v>
      </c>
      <c r="C223" t="s">
        <v>36</v>
      </c>
      <c r="D223" t="s">
        <v>20</v>
      </c>
      <c r="E223" t="s">
        <v>29</v>
      </c>
      <c r="F223" t="s">
        <v>13</v>
      </c>
      <c r="G223">
        <v>4</v>
      </c>
      <c r="H223" s="3">
        <v>806.74</v>
      </c>
      <c r="I223" s="4">
        <v>0.08</v>
      </c>
      <c r="J223" s="3">
        <v>2968.81</v>
      </c>
    </row>
    <row r="224" spans="1:10" x14ac:dyDescent="0.35">
      <c r="A224">
        <v>223</v>
      </c>
      <c r="B224" s="2">
        <v>45889</v>
      </c>
      <c r="C224" t="s">
        <v>16</v>
      </c>
      <c r="D224" t="s">
        <v>11</v>
      </c>
      <c r="E224" t="s">
        <v>17</v>
      </c>
      <c r="F224" t="s">
        <v>18</v>
      </c>
      <c r="G224">
        <v>8</v>
      </c>
      <c r="H224" s="3">
        <v>12638.01</v>
      </c>
      <c r="I224" s="4">
        <v>0.1</v>
      </c>
      <c r="J224" s="3">
        <v>90993.71</v>
      </c>
    </row>
    <row r="225" spans="1:10" x14ac:dyDescent="0.35">
      <c r="A225">
        <v>224</v>
      </c>
      <c r="B225" s="2">
        <v>45726</v>
      </c>
      <c r="C225" t="s">
        <v>36</v>
      </c>
      <c r="D225" t="s">
        <v>20</v>
      </c>
      <c r="E225" t="s">
        <v>25</v>
      </c>
      <c r="F225" t="s">
        <v>25</v>
      </c>
      <c r="G225">
        <v>2</v>
      </c>
      <c r="H225" s="3">
        <v>8317.36</v>
      </c>
      <c r="I225" s="4">
        <v>0.03</v>
      </c>
      <c r="J225" s="3">
        <v>16135.67</v>
      </c>
    </row>
    <row r="226" spans="1:10" x14ac:dyDescent="0.35">
      <c r="A226">
        <v>225</v>
      </c>
      <c r="B226" s="2">
        <v>45884</v>
      </c>
      <c r="C226" t="s">
        <v>16</v>
      </c>
      <c r="D226" t="s">
        <v>11</v>
      </c>
      <c r="E226" t="s">
        <v>23</v>
      </c>
      <c r="F226" t="s">
        <v>15</v>
      </c>
      <c r="G226">
        <v>2</v>
      </c>
      <c r="H226" s="3">
        <v>61291.32</v>
      </c>
      <c r="I226" s="4">
        <v>0</v>
      </c>
      <c r="J226" s="3">
        <v>122582.64</v>
      </c>
    </row>
    <row r="227" spans="1:10" x14ac:dyDescent="0.35">
      <c r="A227">
        <v>226</v>
      </c>
      <c r="B227" s="2">
        <v>45858</v>
      </c>
      <c r="C227" t="s">
        <v>26</v>
      </c>
      <c r="D227" t="s">
        <v>11</v>
      </c>
      <c r="E227" t="s">
        <v>17</v>
      </c>
      <c r="F227" t="s">
        <v>18</v>
      </c>
      <c r="G227">
        <v>1</v>
      </c>
      <c r="H227" s="3">
        <v>12278.91</v>
      </c>
      <c r="I227" s="4">
        <v>0.05</v>
      </c>
      <c r="J227" s="3">
        <v>11664.96</v>
      </c>
    </row>
    <row r="228" spans="1:10" x14ac:dyDescent="0.35">
      <c r="A228">
        <v>227</v>
      </c>
      <c r="B228" s="2">
        <v>45786</v>
      </c>
      <c r="C228" t="s">
        <v>27</v>
      </c>
      <c r="D228" t="s">
        <v>28</v>
      </c>
      <c r="E228" t="s">
        <v>14</v>
      </c>
      <c r="F228" t="s">
        <v>15</v>
      </c>
      <c r="G228">
        <v>5</v>
      </c>
      <c r="H228" s="3">
        <v>17358.650000000001</v>
      </c>
      <c r="I228" s="4">
        <v>0.03</v>
      </c>
      <c r="J228" s="3">
        <v>84189.47</v>
      </c>
    </row>
    <row r="229" spans="1:10" x14ac:dyDescent="0.35">
      <c r="A229">
        <v>228</v>
      </c>
      <c r="B229" s="2">
        <v>45948</v>
      </c>
      <c r="C229" t="s">
        <v>34</v>
      </c>
      <c r="D229" t="s">
        <v>28</v>
      </c>
      <c r="E229" t="s">
        <v>29</v>
      </c>
      <c r="F229" t="s">
        <v>13</v>
      </c>
      <c r="G229">
        <v>3</v>
      </c>
      <c r="H229" s="3">
        <v>891.29</v>
      </c>
      <c r="I229" s="4">
        <v>0.05</v>
      </c>
      <c r="J229" s="3">
        <v>2540.1799999999998</v>
      </c>
    </row>
    <row r="230" spans="1:10" x14ac:dyDescent="0.35">
      <c r="A230">
        <v>229</v>
      </c>
      <c r="B230" s="2">
        <v>45759</v>
      </c>
      <c r="C230" t="s">
        <v>36</v>
      </c>
      <c r="D230" t="s">
        <v>20</v>
      </c>
      <c r="E230" t="s">
        <v>14</v>
      </c>
      <c r="F230" t="s">
        <v>15</v>
      </c>
      <c r="G230">
        <v>5</v>
      </c>
      <c r="H230" s="3">
        <v>20020.46</v>
      </c>
      <c r="I230" s="4">
        <v>0</v>
      </c>
      <c r="J230" s="3">
        <v>100102.31</v>
      </c>
    </row>
    <row r="231" spans="1:10" x14ac:dyDescent="0.35">
      <c r="A231">
        <v>230</v>
      </c>
      <c r="B231" s="2">
        <v>45962</v>
      </c>
      <c r="C231" t="s">
        <v>19</v>
      </c>
      <c r="D231" t="s">
        <v>20</v>
      </c>
      <c r="E231" t="s">
        <v>12</v>
      </c>
      <c r="F231" t="s">
        <v>13</v>
      </c>
      <c r="G231">
        <v>3</v>
      </c>
      <c r="H231" s="3">
        <v>1932.81</v>
      </c>
      <c r="I231" s="4">
        <v>0.03</v>
      </c>
      <c r="J231" s="3">
        <v>5624.48</v>
      </c>
    </row>
    <row r="232" spans="1:10" x14ac:dyDescent="0.35">
      <c r="A232">
        <v>231</v>
      </c>
      <c r="B232" s="2">
        <v>45669</v>
      </c>
      <c r="C232" t="s">
        <v>35</v>
      </c>
      <c r="D232" t="s">
        <v>22</v>
      </c>
      <c r="E232" t="s">
        <v>23</v>
      </c>
      <c r="F232" t="s">
        <v>15</v>
      </c>
      <c r="G232">
        <v>2</v>
      </c>
      <c r="H232" s="3">
        <v>65332.29</v>
      </c>
      <c r="I232" s="4">
        <v>0.05</v>
      </c>
      <c r="J232" s="3">
        <v>124131.35</v>
      </c>
    </row>
    <row r="233" spans="1:10" x14ac:dyDescent="0.35">
      <c r="A233">
        <v>232</v>
      </c>
      <c r="B233" s="2">
        <v>45855</v>
      </c>
      <c r="C233" t="s">
        <v>31</v>
      </c>
      <c r="D233" t="s">
        <v>22</v>
      </c>
      <c r="E233" t="s">
        <v>17</v>
      </c>
      <c r="F233" t="s">
        <v>18</v>
      </c>
      <c r="G233">
        <v>8</v>
      </c>
      <c r="H233" s="3">
        <v>12746.02</v>
      </c>
      <c r="I233" s="4">
        <v>0.05</v>
      </c>
      <c r="J233" s="3">
        <v>96869.78</v>
      </c>
    </row>
    <row r="234" spans="1:10" x14ac:dyDescent="0.35">
      <c r="A234">
        <v>233</v>
      </c>
      <c r="B234" s="2">
        <v>46022</v>
      </c>
      <c r="C234" t="s">
        <v>16</v>
      </c>
      <c r="D234" t="s">
        <v>11</v>
      </c>
      <c r="E234" t="s">
        <v>23</v>
      </c>
      <c r="F234" t="s">
        <v>15</v>
      </c>
      <c r="G234">
        <v>2</v>
      </c>
      <c r="H234" s="3">
        <v>60650.87</v>
      </c>
      <c r="I234" s="4">
        <v>0.05</v>
      </c>
      <c r="J234" s="3">
        <v>115236.65</v>
      </c>
    </row>
    <row r="235" spans="1:10" x14ac:dyDescent="0.35">
      <c r="A235">
        <v>234</v>
      </c>
      <c r="B235" s="2">
        <v>45743</v>
      </c>
      <c r="C235" t="s">
        <v>27</v>
      </c>
      <c r="D235" t="s">
        <v>28</v>
      </c>
      <c r="E235" t="s">
        <v>14</v>
      </c>
      <c r="F235" t="s">
        <v>15</v>
      </c>
      <c r="G235">
        <v>8</v>
      </c>
      <c r="H235" s="3">
        <v>16620.09</v>
      </c>
      <c r="I235" s="4">
        <v>0.1</v>
      </c>
      <c r="J235" s="3">
        <v>119664.62</v>
      </c>
    </row>
    <row r="236" spans="1:10" x14ac:dyDescent="0.35">
      <c r="A236">
        <v>235</v>
      </c>
      <c r="B236" s="2">
        <v>45833</v>
      </c>
      <c r="C236" t="s">
        <v>27</v>
      </c>
      <c r="D236" t="s">
        <v>28</v>
      </c>
      <c r="E236" t="s">
        <v>25</v>
      </c>
      <c r="F236" t="s">
        <v>25</v>
      </c>
      <c r="G236">
        <v>7</v>
      </c>
      <c r="H236" s="3">
        <v>7135.23</v>
      </c>
      <c r="I236" s="4">
        <v>0.05</v>
      </c>
      <c r="J236" s="3">
        <v>47449.27</v>
      </c>
    </row>
    <row r="237" spans="1:10" x14ac:dyDescent="0.35">
      <c r="A237">
        <v>236</v>
      </c>
      <c r="B237" s="2">
        <v>45760</v>
      </c>
      <c r="C237" t="s">
        <v>16</v>
      </c>
      <c r="D237" t="s">
        <v>11</v>
      </c>
      <c r="E237" t="s">
        <v>14</v>
      </c>
      <c r="F237" t="s">
        <v>15</v>
      </c>
      <c r="G237">
        <v>3</v>
      </c>
      <c r="H237" s="3">
        <v>17888.61</v>
      </c>
      <c r="I237" s="4">
        <v>0.1</v>
      </c>
      <c r="J237" s="3">
        <v>48299.23</v>
      </c>
    </row>
    <row r="238" spans="1:10" x14ac:dyDescent="0.35">
      <c r="A238">
        <v>237</v>
      </c>
      <c r="B238" s="2">
        <v>45958</v>
      </c>
      <c r="C238" t="s">
        <v>32</v>
      </c>
      <c r="D238" t="s">
        <v>20</v>
      </c>
      <c r="E238" t="s">
        <v>25</v>
      </c>
      <c r="F238" t="s">
        <v>25</v>
      </c>
      <c r="G238">
        <v>7</v>
      </c>
      <c r="H238" s="3">
        <v>7609.22</v>
      </c>
      <c r="I238" s="4">
        <v>0.03</v>
      </c>
      <c r="J238" s="3">
        <v>51666.6</v>
      </c>
    </row>
    <row r="239" spans="1:10" x14ac:dyDescent="0.35">
      <c r="A239">
        <v>238</v>
      </c>
      <c r="B239" s="2">
        <v>46021</v>
      </c>
      <c r="C239" t="s">
        <v>19</v>
      </c>
      <c r="D239" t="s">
        <v>20</v>
      </c>
      <c r="E239" t="s">
        <v>17</v>
      </c>
      <c r="F239" t="s">
        <v>18</v>
      </c>
      <c r="G239">
        <v>5</v>
      </c>
      <c r="H239" s="3">
        <v>11830.17</v>
      </c>
      <c r="I239" s="4">
        <v>0.05</v>
      </c>
      <c r="J239" s="3">
        <v>56193.32</v>
      </c>
    </row>
    <row r="240" spans="1:10" x14ac:dyDescent="0.35">
      <c r="A240">
        <v>239</v>
      </c>
      <c r="B240" s="2">
        <v>45867</v>
      </c>
      <c r="C240" t="s">
        <v>10</v>
      </c>
      <c r="D240" t="s">
        <v>11</v>
      </c>
      <c r="E240" t="s">
        <v>23</v>
      </c>
      <c r="F240" t="s">
        <v>15</v>
      </c>
      <c r="G240">
        <v>4</v>
      </c>
      <c r="H240" s="3">
        <v>62172.54</v>
      </c>
      <c r="I240" s="4">
        <v>0.08</v>
      </c>
      <c r="J240" s="3">
        <v>228794.94</v>
      </c>
    </row>
    <row r="241" spans="1:10" x14ac:dyDescent="0.35">
      <c r="A241">
        <v>240</v>
      </c>
      <c r="B241" s="2">
        <v>45884</v>
      </c>
      <c r="C241" t="s">
        <v>32</v>
      </c>
      <c r="D241" t="s">
        <v>20</v>
      </c>
      <c r="E241" t="s">
        <v>29</v>
      </c>
      <c r="F241" t="s">
        <v>13</v>
      </c>
      <c r="G241">
        <v>2</v>
      </c>
      <c r="H241" s="3">
        <v>882.18</v>
      </c>
      <c r="I241" s="4">
        <v>0.08</v>
      </c>
      <c r="J241" s="3">
        <v>1623.21</v>
      </c>
    </row>
    <row r="242" spans="1:10" x14ac:dyDescent="0.35">
      <c r="A242">
        <v>241</v>
      </c>
      <c r="B242" s="2">
        <v>45931</v>
      </c>
      <c r="C242" t="s">
        <v>27</v>
      </c>
      <c r="D242" t="s">
        <v>28</v>
      </c>
      <c r="E242" t="s">
        <v>14</v>
      </c>
      <c r="F242" t="s">
        <v>15</v>
      </c>
      <c r="G242">
        <v>6</v>
      </c>
      <c r="H242" s="3">
        <v>16641.240000000002</v>
      </c>
      <c r="I242" s="4">
        <v>0</v>
      </c>
      <c r="J242" s="3">
        <v>99847.46</v>
      </c>
    </row>
    <row r="243" spans="1:10" x14ac:dyDescent="0.35">
      <c r="A243">
        <v>242</v>
      </c>
      <c r="B243" s="2">
        <v>45975</v>
      </c>
      <c r="C243" t="s">
        <v>24</v>
      </c>
      <c r="D243" t="s">
        <v>22</v>
      </c>
      <c r="E243" t="s">
        <v>17</v>
      </c>
      <c r="F243" t="s">
        <v>18</v>
      </c>
      <c r="G243">
        <v>3</v>
      </c>
      <c r="H243" s="3">
        <v>11570.05</v>
      </c>
      <c r="I243" s="4">
        <v>0.1</v>
      </c>
      <c r="J243" s="3">
        <v>31239.14</v>
      </c>
    </row>
    <row r="244" spans="1:10" x14ac:dyDescent="0.35">
      <c r="A244">
        <v>243</v>
      </c>
      <c r="B244" s="2">
        <v>45923</v>
      </c>
      <c r="C244" t="s">
        <v>37</v>
      </c>
      <c r="D244" t="s">
        <v>11</v>
      </c>
      <c r="E244" t="s">
        <v>12</v>
      </c>
      <c r="F244" t="s">
        <v>13</v>
      </c>
      <c r="G244">
        <v>1</v>
      </c>
      <c r="H244" s="3">
        <v>1701.37</v>
      </c>
      <c r="I244" s="4">
        <v>0.05</v>
      </c>
      <c r="J244" s="3">
        <v>1616.3</v>
      </c>
    </row>
    <row r="245" spans="1:10" x14ac:dyDescent="0.35">
      <c r="A245">
        <v>244</v>
      </c>
      <c r="B245" s="2">
        <v>45834</v>
      </c>
      <c r="C245" t="s">
        <v>31</v>
      </c>
      <c r="D245" t="s">
        <v>22</v>
      </c>
      <c r="E245" t="s">
        <v>23</v>
      </c>
      <c r="F245" t="s">
        <v>15</v>
      </c>
      <c r="G245">
        <v>7</v>
      </c>
      <c r="H245" s="3">
        <v>68706.28</v>
      </c>
      <c r="I245" s="4">
        <v>0.05</v>
      </c>
      <c r="J245" s="3">
        <v>456896.79</v>
      </c>
    </row>
    <row r="246" spans="1:10" x14ac:dyDescent="0.35">
      <c r="A246">
        <v>245</v>
      </c>
      <c r="B246" s="2">
        <v>45803</v>
      </c>
      <c r="C246" t="s">
        <v>36</v>
      </c>
      <c r="D246" t="s">
        <v>20</v>
      </c>
      <c r="E246" t="s">
        <v>29</v>
      </c>
      <c r="F246" t="s">
        <v>13</v>
      </c>
      <c r="G246">
        <v>6</v>
      </c>
      <c r="H246" s="3">
        <v>976.21</v>
      </c>
      <c r="I246" s="4">
        <v>0.03</v>
      </c>
      <c r="J246" s="3">
        <v>5681.54</v>
      </c>
    </row>
    <row r="247" spans="1:10" x14ac:dyDescent="0.35">
      <c r="A247">
        <v>246</v>
      </c>
      <c r="B247" s="2">
        <v>45730</v>
      </c>
      <c r="C247" t="s">
        <v>31</v>
      </c>
      <c r="D247" t="s">
        <v>22</v>
      </c>
      <c r="E247" t="s">
        <v>29</v>
      </c>
      <c r="F247" t="s">
        <v>13</v>
      </c>
      <c r="G247">
        <v>1</v>
      </c>
      <c r="H247" s="3">
        <v>988.63</v>
      </c>
      <c r="I247" s="4">
        <v>0.03</v>
      </c>
      <c r="J247" s="3">
        <v>958.97</v>
      </c>
    </row>
    <row r="248" spans="1:10" x14ac:dyDescent="0.35">
      <c r="A248">
        <v>247</v>
      </c>
      <c r="B248" s="2">
        <v>45950</v>
      </c>
      <c r="C248" t="s">
        <v>30</v>
      </c>
      <c r="D248" t="s">
        <v>22</v>
      </c>
      <c r="E248" t="s">
        <v>23</v>
      </c>
      <c r="F248" t="s">
        <v>15</v>
      </c>
      <c r="G248">
        <v>1</v>
      </c>
      <c r="H248" s="3">
        <v>60604.76</v>
      </c>
      <c r="I248" s="4">
        <v>0.05</v>
      </c>
      <c r="J248" s="3">
        <v>57574.52</v>
      </c>
    </row>
    <row r="249" spans="1:10" x14ac:dyDescent="0.35">
      <c r="A249">
        <v>248</v>
      </c>
      <c r="B249" s="2">
        <v>45976</v>
      </c>
      <c r="C249" t="s">
        <v>35</v>
      </c>
      <c r="D249" t="s">
        <v>22</v>
      </c>
      <c r="E249" t="s">
        <v>29</v>
      </c>
      <c r="F249" t="s">
        <v>13</v>
      </c>
      <c r="G249">
        <v>3</v>
      </c>
      <c r="H249" s="3">
        <v>1004.18</v>
      </c>
      <c r="I249" s="4">
        <v>0.05</v>
      </c>
      <c r="J249" s="3">
        <v>2861.92</v>
      </c>
    </row>
    <row r="250" spans="1:10" x14ac:dyDescent="0.35">
      <c r="A250">
        <v>249</v>
      </c>
      <c r="B250" s="2">
        <v>45709</v>
      </c>
      <c r="C250" t="s">
        <v>31</v>
      </c>
      <c r="D250" t="s">
        <v>22</v>
      </c>
      <c r="E250" t="s">
        <v>17</v>
      </c>
      <c r="F250" t="s">
        <v>18</v>
      </c>
      <c r="G250">
        <v>6</v>
      </c>
      <c r="H250" s="3">
        <v>11041.06</v>
      </c>
      <c r="I250" s="4">
        <v>0.05</v>
      </c>
      <c r="J250" s="3">
        <v>62934.03</v>
      </c>
    </row>
    <row r="251" spans="1:10" x14ac:dyDescent="0.35">
      <c r="A251">
        <v>250</v>
      </c>
      <c r="B251" s="2">
        <v>45900</v>
      </c>
      <c r="C251" t="s">
        <v>26</v>
      </c>
      <c r="D251" t="s">
        <v>11</v>
      </c>
      <c r="E251" t="s">
        <v>17</v>
      </c>
      <c r="F251" t="s">
        <v>18</v>
      </c>
      <c r="G251">
        <v>8</v>
      </c>
      <c r="H251" s="3">
        <v>12430.98</v>
      </c>
      <c r="I251" s="4">
        <v>0.1</v>
      </c>
      <c r="J251" s="3">
        <v>89503.07</v>
      </c>
    </row>
    <row r="252" spans="1:10" x14ac:dyDescent="0.35">
      <c r="A252">
        <v>251</v>
      </c>
      <c r="B252" s="2">
        <v>45898</v>
      </c>
      <c r="C252" t="s">
        <v>35</v>
      </c>
      <c r="D252" t="s">
        <v>22</v>
      </c>
      <c r="E252" t="s">
        <v>25</v>
      </c>
      <c r="F252" t="s">
        <v>25</v>
      </c>
      <c r="G252">
        <v>2</v>
      </c>
      <c r="H252" s="3">
        <v>7291.36</v>
      </c>
      <c r="I252" s="4">
        <v>0</v>
      </c>
      <c r="J252" s="3">
        <v>14582.73</v>
      </c>
    </row>
    <row r="253" spans="1:10" x14ac:dyDescent="0.35">
      <c r="A253">
        <v>252</v>
      </c>
      <c r="B253" s="2">
        <v>45704</v>
      </c>
      <c r="C253" t="s">
        <v>27</v>
      </c>
      <c r="D253" t="s">
        <v>28</v>
      </c>
      <c r="E253" t="s">
        <v>17</v>
      </c>
      <c r="F253" t="s">
        <v>18</v>
      </c>
      <c r="G253">
        <v>8</v>
      </c>
      <c r="H253" s="3">
        <v>10726.59</v>
      </c>
      <c r="I253" s="4">
        <v>0.03</v>
      </c>
      <c r="J253" s="3">
        <v>83238.31</v>
      </c>
    </row>
    <row r="254" spans="1:10" x14ac:dyDescent="0.35">
      <c r="A254">
        <v>253</v>
      </c>
      <c r="B254" s="2">
        <v>45718</v>
      </c>
      <c r="C254" t="s">
        <v>10</v>
      </c>
      <c r="D254" t="s">
        <v>11</v>
      </c>
      <c r="E254" t="s">
        <v>23</v>
      </c>
      <c r="F254" t="s">
        <v>15</v>
      </c>
      <c r="G254">
        <v>1</v>
      </c>
      <c r="H254" s="3">
        <v>72720.56</v>
      </c>
      <c r="I254" s="4">
        <v>0.1</v>
      </c>
      <c r="J254" s="3">
        <v>65448.51</v>
      </c>
    </row>
    <row r="255" spans="1:10" x14ac:dyDescent="0.35">
      <c r="A255">
        <v>254</v>
      </c>
      <c r="B255" s="2">
        <v>45873</v>
      </c>
      <c r="C255" t="s">
        <v>33</v>
      </c>
      <c r="D255" t="s">
        <v>28</v>
      </c>
      <c r="E255" t="s">
        <v>14</v>
      </c>
      <c r="F255" t="s">
        <v>15</v>
      </c>
      <c r="G255">
        <v>3</v>
      </c>
      <c r="H255" s="3">
        <v>18846.810000000001</v>
      </c>
      <c r="I255" s="4">
        <v>0.08</v>
      </c>
      <c r="J255" s="3">
        <v>52017.19</v>
      </c>
    </row>
    <row r="256" spans="1:10" x14ac:dyDescent="0.35">
      <c r="A256">
        <v>255</v>
      </c>
      <c r="B256" s="2">
        <v>45746</v>
      </c>
      <c r="C256" t="s">
        <v>36</v>
      </c>
      <c r="D256" t="s">
        <v>20</v>
      </c>
      <c r="E256" t="s">
        <v>17</v>
      </c>
      <c r="F256" t="s">
        <v>18</v>
      </c>
      <c r="G256">
        <v>6</v>
      </c>
      <c r="H256" s="3">
        <v>12713.87</v>
      </c>
      <c r="I256" s="4">
        <v>0.05</v>
      </c>
      <c r="J256" s="3">
        <v>72469.06</v>
      </c>
    </row>
    <row r="257" spans="1:10" x14ac:dyDescent="0.35">
      <c r="A257">
        <v>256</v>
      </c>
      <c r="B257" s="2">
        <v>45980</v>
      </c>
      <c r="C257" t="s">
        <v>34</v>
      </c>
      <c r="D257" t="s">
        <v>28</v>
      </c>
      <c r="E257" t="s">
        <v>12</v>
      </c>
      <c r="F257" t="s">
        <v>13</v>
      </c>
      <c r="G257">
        <v>6</v>
      </c>
      <c r="H257" s="3">
        <v>1781.61</v>
      </c>
      <c r="I257" s="4">
        <v>0.08</v>
      </c>
      <c r="J257" s="3">
        <v>9834.49</v>
      </c>
    </row>
    <row r="258" spans="1:10" x14ac:dyDescent="0.35">
      <c r="A258">
        <v>257</v>
      </c>
      <c r="B258" s="2">
        <v>45989</v>
      </c>
      <c r="C258" t="s">
        <v>33</v>
      </c>
      <c r="D258" t="s">
        <v>28</v>
      </c>
      <c r="E258" t="s">
        <v>12</v>
      </c>
      <c r="F258" t="s">
        <v>13</v>
      </c>
      <c r="G258">
        <v>5</v>
      </c>
      <c r="H258" s="3">
        <v>1996.84</v>
      </c>
      <c r="I258" s="4">
        <v>0.08</v>
      </c>
      <c r="J258" s="3">
        <v>9185.4699999999993</v>
      </c>
    </row>
    <row r="259" spans="1:10" x14ac:dyDescent="0.35">
      <c r="A259">
        <v>258</v>
      </c>
      <c r="B259" s="2">
        <v>45883</v>
      </c>
      <c r="C259" t="s">
        <v>27</v>
      </c>
      <c r="D259" t="s">
        <v>28</v>
      </c>
      <c r="E259" t="s">
        <v>23</v>
      </c>
      <c r="F259" t="s">
        <v>15</v>
      </c>
      <c r="G259">
        <v>7</v>
      </c>
      <c r="H259" s="3">
        <v>65793.37</v>
      </c>
      <c r="I259" s="4">
        <v>0.05</v>
      </c>
      <c r="J259" s="3">
        <v>437525.94</v>
      </c>
    </row>
    <row r="260" spans="1:10" x14ac:dyDescent="0.35">
      <c r="A260">
        <v>259</v>
      </c>
      <c r="B260" s="2">
        <v>45833</v>
      </c>
      <c r="C260" t="s">
        <v>16</v>
      </c>
      <c r="D260" t="s">
        <v>11</v>
      </c>
      <c r="E260" t="s">
        <v>12</v>
      </c>
      <c r="F260" t="s">
        <v>13</v>
      </c>
      <c r="G260">
        <v>7</v>
      </c>
      <c r="H260" s="3">
        <v>1884.55</v>
      </c>
      <c r="I260" s="4">
        <v>0</v>
      </c>
      <c r="J260" s="3">
        <v>13191.84</v>
      </c>
    </row>
    <row r="261" spans="1:10" x14ac:dyDescent="0.35">
      <c r="A261">
        <v>260</v>
      </c>
      <c r="B261" s="2">
        <v>45941</v>
      </c>
      <c r="C261" t="s">
        <v>27</v>
      </c>
      <c r="D261" t="s">
        <v>28</v>
      </c>
      <c r="E261" t="s">
        <v>14</v>
      </c>
      <c r="F261" t="s">
        <v>15</v>
      </c>
      <c r="G261">
        <v>6</v>
      </c>
      <c r="H261" s="3">
        <v>16312.91</v>
      </c>
      <c r="I261" s="4">
        <v>0.1</v>
      </c>
      <c r="J261" s="3">
        <v>88089.69</v>
      </c>
    </row>
    <row r="262" spans="1:10" x14ac:dyDescent="0.35">
      <c r="A262">
        <v>261</v>
      </c>
      <c r="B262" s="2">
        <v>45975</v>
      </c>
      <c r="C262" t="s">
        <v>37</v>
      </c>
      <c r="D262" t="s">
        <v>11</v>
      </c>
      <c r="E262" t="s">
        <v>29</v>
      </c>
      <c r="F262" t="s">
        <v>13</v>
      </c>
      <c r="G262">
        <v>1</v>
      </c>
      <c r="H262" s="3">
        <v>982.71</v>
      </c>
      <c r="I262" s="4">
        <v>0</v>
      </c>
      <c r="J262" s="3">
        <v>982.71</v>
      </c>
    </row>
    <row r="263" spans="1:10" x14ac:dyDescent="0.35">
      <c r="A263">
        <v>262</v>
      </c>
      <c r="B263" s="2">
        <v>45697</v>
      </c>
      <c r="C263" t="s">
        <v>35</v>
      </c>
      <c r="D263" t="s">
        <v>22</v>
      </c>
      <c r="E263" t="s">
        <v>17</v>
      </c>
      <c r="F263" t="s">
        <v>18</v>
      </c>
      <c r="G263">
        <v>2</v>
      </c>
      <c r="H263" s="3">
        <v>12466.88</v>
      </c>
      <c r="I263" s="4">
        <v>0.05</v>
      </c>
      <c r="J263" s="3">
        <v>23687.08</v>
      </c>
    </row>
    <row r="264" spans="1:10" x14ac:dyDescent="0.35">
      <c r="A264">
        <v>263</v>
      </c>
      <c r="B264" s="2">
        <v>45993</v>
      </c>
      <c r="C264" t="s">
        <v>33</v>
      </c>
      <c r="D264" t="s">
        <v>28</v>
      </c>
      <c r="E264" t="s">
        <v>29</v>
      </c>
      <c r="F264" t="s">
        <v>13</v>
      </c>
      <c r="G264">
        <v>5</v>
      </c>
      <c r="H264" s="3">
        <v>904.59</v>
      </c>
      <c r="I264" s="4">
        <v>0.08</v>
      </c>
      <c r="J264" s="3">
        <v>4161.12</v>
      </c>
    </row>
    <row r="265" spans="1:10" x14ac:dyDescent="0.35">
      <c r="A265">
        <v>264</v>
      </c>
      <c r="B265" s="2">
        <v>45926</v>
      </c>
      <c r="C265" t="s">
        <v>16</v>
      </c>
      <c r="D265" t="s">
        <v>11</v>
      </c>
      <c r="E265" t="s">
        <v>12</v>
      </c>
      <c r="F265" t="s">
        <v>13</v>
      </c>
      <c r="G265">
        <v>1</v>
      </c>
      <c r="H265" s="3">
        <v>1653.29</v>
      </c>
      <c r="I265" s="4">
        <v>0</v>
      </c>
      <c r="J265" s="3">
        <v>1653.29</v>
      </c>
    </row>
    <row r="266" spans="1:10" x14ac:dyDescent="0.35">
      <c r="A266">
        <v>265</v>
      </c>
      <c r="B266" s="2">
        <v>45812</v>
      </c>
      <c r="C266" t="s">
        <v>33</v>
      </c>
      <c r="D266" t="s">
        <v>28</v>
      </c>
      <c r="E266" t="s">
        <v>29</v>
      </c>
      <c r="F266" t="s">
        <v>13</v>
      </c>
      <c r="G266">
        <v>1</v>
      </c>
      <c r="H266" s="3">
        <v>814.86</v>
      </c>
      <c r="I266" s="4">
        <v>0.1</v>
      </c>
      <c r="J266" s="3">
        <v>733.37</v>
      </c>
    </row>
    <row r="267" spans="1:10" x14ac:dyDescent="0.35">
      <c r="A267">
        <v>266</v>
      </c>
      <c r="B267" s="2">
        <v>45906</v>
      </c>
      <c r="C267" t="s">
        <v>38</v>
      </c>
      <c r="D267" t="s">
        <v>11</v>
      </c>
      <c r="E267" t="s">
        <v>12</v>
      </c>
      <c r="F267" t="s">
        <v>13</v>
      </c>
      <c r="G267">
        <v>7</v>
      </c>
      <c r="H267" s="3">
        <v>1999.29</v>
      </c>
      <c r="I267" s="4">
        <v>0.08</v>
      </c>
      <c r="J267" s="3">
        <v>12875.42</v>
      </c>
    </row>
    <row r="268" spans="1:10" x14ac:dyDescent="0.35">
      <c r="A268">
        <v>267</v>
      </c>
      <c r="B268" s="2">
        <v>45696</v>
      </c>
      <c r="C268" t="s">
        <v>36</v>
      </c>
      <c r="D268" t="s">
        <v>20</v>
      </c>
      <c r="E268" t="s">
        <v>14</v>
      </c>
      <c r="F268" t="s">
        <v>15</v>
      </c>
      <c r="G268">
        <v>2</v>
      </c>
      <c r="H268" s="3">
        <v>16827.66</v>
      </c>
      <c r="I268" s="4">
        <v>0.08</v>
      </c>
      <c r="J268" s="3">
        <v>30962.9</v>
      </c>
    </row>
    <row r="269" spans="1:10" x14ac:dyDescent="0.35">
      <c r="A269">
        <v>268</v>
      </c>
      <c r="B269" s="2">
        <v>45669</v>
      </c>
      <c r="C269" t="s">
        <v>30</v>
      </c>
      <c r="D269" t="s">
        <v>22</v>
      </c>
      <c r="E269" t="s">
        <v>14</v>
      </c>
      <c r="F269" t="s">
        <v>15</v>
      </c>
      <c r="G269">
        <v>4</v>
      </c>
      <c r="H269" s="3">
        <v>19108.669999999998</v>
      </c>
      <c r="I269" s="4">
        <v>0.05</v>
      </c>
      <c r="J269" s="3">
        <v>72612.929999999993</v>
      </c>
    </row>
    <row r="270" spans="1:10" x14ac:dyDescent="0.35">
      <c r="A270">
        <v>269</v>
      </c>
      <c r="B270" s="2">
        <v>45890</v>
      </c>
      <c r="C270" t="s">
        <v>10</v>
      </c>
      <c r="D270" t="s">
        <v>11</v>
      </c>
      <c r="E270" t="s">
        <v>14</v>
      </c>
      <c r="F270" t="s">
        <v>15</v>
      </c>
      <c r="G270">
        <v>8</v>
      </c>
      <c r="H270" s="3">
        <v>17250.189999999999</v>
      </c>
      <c r="I270" s="4">
        <v>0</v>
      </c>
      <c r="J270" s="3">
        <v>138001.54</v>
      </c>
    </row>
    <row r="271" spans="1:10" x14ac:dyDescent="0.35">
      <c r="A271">
        <v>270</v>
      </c>
      <c r="B271" s="2">
        <v>45983</v>
      </c>
      <c r="C271" t="s">
        <v>32</v>
      </c>
      <c r="D271" t="s">
        <v>20</v>
      </c>
      <c r="E271" t="s">
        <v>14</v>
      </c>
      <c r="F271" t="s">
        <v>15</v>
      </c>
      <c r="G271">
        <v>4</v>
      </c>
      <c r="H271" s="3">
        <v>19376.7</v>
      </c>
      <c r="I271" s="4">
        <v>0</v>
      </c>
      <c r="J271" s="3">
        <v>77506.78</v>
      </c>
    </row>
    <row r="272" spans="1:10" x14ac:dyDescent="0.35">
      <c r="A272">
        <v>271</v>
      </c>
      <c r="B272" s="2">
        <v>45976</v>
      </c>
      <c r="C272" t="s">
        <v>36</v>
      </c>
      <c r="D272" t="s">
        <v>20</v>
      </c>
      <c r="E272" t="s">
        <v>25</v>
      </c>
      <c r="F272" t="s">
        <v>25</v>
      </c>
      <c r="G272">
        <v>7</v>
      </c>
      <c r="H272" s="3">
        <v>8333.39</v>
      </c>
      <c r="I272" s="4">
        <v>0.05</v>
      </c>
      <c r="J272" s="3">
        <v>55417.01</v>
      </c>
    </row>
    <row r="273" spans="1:10" x14ac:dyDescent="0.35">
      <c r="A273">
        <v>272</v>
      </c>
      <c r="B273" s="2">
        <v>45853</v>
      </c>
      <c r="C273" t="s">
        <v>21</v>
      </c>
      <c r="D273" t="s">
        <v>22</v>
      </c>
      <c r="E273" t="s">
        <v>12</v>
      </c>
      <c r="F273" t="s">
        <v>13</v>
      </c>
      <c r="G273">
        <v>7</v>
      </c>
      <c r="H273" s="3">
        <v>1628.28</v>
      </c>
      <c r="I273" s="4">
        <v>0.1</v>
      </c>
      <c r="J273" s="3">
        <v>10258.19</v>
      </c>
    </row>
    <row r="274" spans="1:10" x14ac:dyDescent="0.35">
      <c r="A274">
        <v>273</v>
      </c>
      <c r="B274" s="2">
        <v>45669</v>
      </c>
      <c r="C274" t="s">
        <v>26</v>
      </c>
      <c r="D274" t="s">
        <v>11</v>
      </c>
      <c r="E274" t="s">
        <v>12</v>
      </c>
      <c r="F274" t="s">
        <v>13</v>
      </c>
      <c r="G274">
        <v>2</v>
      </c>
      <c r="H274" s="3">
        <v>1655.88</v>
      </c>
      <c r="I274" s="4">
        <v>0.1</v>
      </c>
      <c r="J274" s="3">
        <v>2980.58</v>
      </c>
    </row>
    <row r="275" spans="1:10" x14ac:dyDescent="0.35">
      <c r="A275">
        <v>274</v>
      </c>
      <c r="B275" s="2">
        <v>45777</v>
      </c>
      <c r="C275" t="s">
        <v>38</v>
      </c>
      <c r="D275" t="s">
        <v>11</v>
      </c>
      <c r="E275" t="s">
        <v>23</v>
      </c>
      <c r="F275" t="s">
        <v>15</v>
      </c>
      <c r="G275">
        <v>2</v>
      </c>
      <c r="H275" s="3">
        <v>58103.56</v>
      </c>
      <c r="I275" s="4">
        <v>0.05</v>
      </c>
      <c r="J275" s="3">
        <v>110396.76</v>
      </c>
    </row>
    <row r="276" spans="1:10" x14ac:dyDescent="0.35">
      <c r="A276">
        <v>275</v>
      </c>
      <c r="B276" s="2">
        <v>45861</v>
      </c>
      <c r="C276" t="s">
        <v>33</v>
      </c>
      <c r="D276" t="s">
        <v>28</v>
      </c>
      <c r="E276" t="s">
        <v>14</v>
      </c>
      <c r="F276" t="s">
        <v>15</v>
      </c>
      <c r="G276">
        <v>2</v>
      </c>
      <c r="H276" s="3">
        <v>18760.55</v>
      </c>
      <c r="I276" s="4">
        <v>0.1</v>
      </c>
      <c r="J276" s="3">
        <v>33768.980000000003</v>
      </c>
    </row>
    <row r="277" spans="1:10" x14ac:dyDescent="0.35">
      <c r="A277">
        <v>276</v>
      </c>
      <c r="B277" s="2">
        <v>45686</v>
      </c>
      <c r="C277" t="s">
        <v>26</v>
      </c>
      <c r="D277" t="s">
        <v>11</v>
      </c>
      <c r="E277" t="s">
        <v>17</v>
      </c>
      <c r="F277" t="s">
        <v>18</v>
      </c>
      <c r="G277">
        <v>3</v>
      </c>
      <c r="H277" s="3">
        <v>11664.8</v>
      </c>
      <c r="I277" s="4">
        <v>0.05</v>
      </c>
      <c r="J277" s="3">
        <v>33244.69</v>
      </c>
    </row>
    <row r="278" spans="1:10" x14ac:dyDescent="0.35">
      <c r="A278">
        <v>277</v>
      </c>
      <c r="B278" s="2">
        <v>45715</v>
      </c>
      <c r="C278" t="s">
        <v>33</v>
      </c>
      <c r="D278" t="s">
        <v>28</v>
      </c>
      <c r="E278" t="s">
        <v>23</v>
      </c>
      <c r="F278" t="s">
        <v>15</v>
      </c>
      <c r="G278">
        <v>6</v>
      </c>
      <c r="H278" s="3">
        <v>69973.06</v>
      </c>
      <c r="I278" s="4">
        <v>0.03</v>
      </c>
      <c r="J278" s="3">
        <v>407243.19</v>
      </c>
    </row>
    <row r="279" spans="1:10" x14ac:dyDescent="0.35">
      <c r="A279">
        <v>278</v>
      </c>
      <c r="B279" s="2">
        <v>45756</v>
      </c>
      <c r="C279" t="s">
        <v>10</v>
      </c>
      <c r="D279" t="s">
        <v>11</v>
      </c>
      <c r="E279" t="s">
        <v>14</v>
      </c>
      <c r="F279" t="s">
        <v>15</v>
      </c>
      <c r="G279">
        <v>2</v>
      </c>
      <c r="H279" s="3">
        <v>20147.580000000002</v>
      </c>
      <c r="I279" s="4">
        <v>0.03</v>
      </c>
      <c r="J279" s="3">
        <v>39086.300000000003</v>
      </c>
    </row>
    <row r="280" spans="1:10" x14ac:dyDescent="0.35">
      <c r="A280">
        <v>279</v>
      </c>
      <c r="B280" s="2">
        <v>45732</v>
      </c>
      <c r="C280" t="s">
        <v>35</v>
      </c>
      <c r="D280" t="s">
        <v>22</v>
      </c>
      <c r="E280" t="s">
        <v>23</v>
      </c>
      <c r="F280" t="s">
        <v>15</v>
      </c>
      <c r="G280">
        <v>7</v>
      </c>
      <c r="H280" s="3">
        <v>70084.36</v>
      </c>
      <c r="I280" s="4">
        <v>0.05</v>
      </c>
      <c r="J280" s="3">
        <v>466061.02</v>
      </c>
    </row>
    <row r="281" spans="1:10" x14ac:dyDescent="0.35">
      <c r="A281">
        <v>280</v>
      </c>
      <c r="B281" s="2">
        <v>45684</v>
      </c>
      <c r="C281" t="s">
        <v>26</v>
      </c>
      <c r="D281" t="s">
        <v>11</v>
      </c>
      <c r="E281" t="s">
        <v>14</v>
      </c>
      <c r="F281" t="s">
        <v>15</v>
      </c>
      <c r="G281">
        <v>7</v>
      </c>
      <c r="H281" s="3">
        <v>18667.490000000002</v>
      </c>
      <c r="I281" s="4">
        <v>0.05</v>
      </c>
      <c r="J281" s="3">
        <v>124138.8</v>
      </c>
    </row>
    <row r="282" spans="1:10" x14ac:dyDescent="0.35">
      <c r="A282">
        <v>281</v>
      </c>
      <c r="B282" s="2">
        <v>45678</v>
      </c>
      <c r="C282" t="s">
        <v>36</v>
      </c>
      <c r="D282" t="s">
        <v>20</v>
      </c>
      <c r="E282" t="s">
        <v>23</v>
      </c>
      <c r="F282" t="s">
        <v>15</v>
      </c>
      <c r="G282">
        <v>6</v>
      </c>
      <c r="H282" s="3">
        <v>63944.42</v>
      </c>
      <c r="I282" s="4">
        <v>0</v>
      </c>
      <c r="J282" s="3">
        <v>383666.54</v>
      </c>
    </row>
    <row r="283" spans="1:10" x14ac:dyDescent="0.35">
      <c r="A283">
        <v>282</v>
      </c>
      <c r="B283" s="2">
        <v>45914</v>
      </c>
      <c r="C283" t="s">
        <v>30</v>
      </c>
      <c r="D283" t="s">
        <v>22</v>
      </c>
      <c r="E283" t="s">
        <v>29</v>
      </c>
      <c r="F283" t="s">
        <v>13</v>
      </c>
      <c r="G283">
        <v>3</v>
      </c>
      <c r="H283" s="3">
        <v>956.18</v>
      </c>
      <c r="I283" s="4">
        <v>0.1</v>
      </c>
      <c r="J283" s="3">
        <v>2581.69</v>
      </c>
    </row>
    <row r="284" spans="1:10" x14ac:dyDescent="0.35">
      <c r="A284">
        <v>283</v>
      </c>
      <c r="B284" s="2">
        <v>45977</v>
      </c>
      <c r="C284" t="s">
        <v>27</v>
      </c>
      <c r="D284" t="s">
        <v>28</v>
      </c>
      <c r="E284" t="s">
        <v>12</v>
      </c>
      <c r="F284" t="s">
        <v>13</v>
      </c>
      <c r="G284">
        <v>6</v>
      </c>
      <c r="H284" s="3">
        <v>1676.06</v>
      </c>
      <c r="I284" s="4">
        <v>0.03</v>
      </c>
      <c r="J284" s="3">
        <v>9754.68</v>
      </c>
    </row>
    <row r="285" spans="1:10" x14ac:dyDescent="0.35">
      <c r="A285">
        <v>284</v>
      </c>
      <c r="B285" s="2">
        <v>45865</v>
      </c>
      <c r="C285" t="s">
        <v>32</v>
      </c>
      <c r="D285" t="s">
        <v>20</v>
      </c>
      <c r="E285" t="s">
        <v>23</v>
      </c>
      <c r="F285" t="s">
        <v>15</v>
      </c>
      <c r="G285">
        <v>8</v>
      </c>
      <c r="H285" s="3">
        <v>70683.990000000005</v>
      </c>
      <c r="I285" s="4">
        <v>0.03</v>
      </c>
      <c r="J285" s="3">
        <v>548507.75</v>
      </c>
    </row>
    <row r="286" spans="1:10" x14ac:dyDescent="0.35">
      <c r="A286">
        <v>285</v>
      </c>
      <c r="B286" s="2">
        <v>45665</v>
      </c>
      <c r="C286" t="s">
        <v>33</v>
      </c>
      <c r="D286" t="s">
        <v>28</v>
      </c>
      <c r="E286" t="s">
        <v>12</v>
      </c>
      <c r="F286" t="s">
        <v>13</v>
      </c>
      <c r="G286">
        <v>6</v>
      </c>
      <c r="H286" s="3">
        <v>1623.38</v>
      </c>
      <c r="I286" s="4">
        <v>0.03</v>
      </c>
      <c r="J286" s="3">
        <v>9448.09</v>
      </c>
    </row>
    <row r="287" spans="1:10" x14ac:dyDescent="0.35">
      <c r="A287">
        <v>286</v>
      </c>
      <c r="B287" s="2">
        <v>46006</v>
      </c>
      <c r="C287" t="s">
        <v>30</v>
      </c>
      <c r="D287" t="s">
        <v>22</v>
      </c>
      <c r="E287" t="s">
        <v>17</v>
      </c>
      <c r="F287" t="s">
        <v>18</v>
      </c>
      <c r="G287">
        <v>6</v>
      </c>
      <c r="H287" s="3">
        <v>10611.44</v>
      </c>
      <c r="I287" s="4">
        <v>0.05</v>
      </c>
      <c r="J287" s="3">
        <v>60485.22</v>
      </c>
    </row>
    <row r="288" spans="1:10" x14ac:dyDescent="0.35">
      <c r="A288">
        <v>287</v>
      </c>
      <c r="B288" s="2">
        <v>45703</v>
      </c>
      <c r="C288" t="s">
        <v>24</v>
      </c>
      <c r="D288" t="s">
        <v>22</v>
      </c>
      <c r="E288" t="s">
        <v>12</v>
      </c>
      <c r="F288" t="s">
        <v>13</v>
      </c>
      <c r="G288">
        <v>5</v>
      </c>
      <c r="H288" s="3">
        <v>2001.96</v>
      </c>
      <c r="I288" s="4">
        <v>0.1</v>
      </c>
      <c r="J288" s="3">
        <v>9008.84</v>
      </c>
    </row>
    <row r="289" spans="1:10" x14ac:dyDescent="0.35">
      <c r="A289">
        <v>288</v>
      </c>
      <c r="B289" s="2">
        <v>45893</v>
      </c>
      <c r="C289" t="s">
        <v>30</v>
      </c>
      <c r="D289" t="s">
        <v>22</v>
      </c>
      <c r="E289" t="s">
        <v>23</v>
      </c>
      <c r="F289" t="s">
        <v>15</v>
      </c>
      <c r="G289">
        <v>6</v>
      </c>
      <c r="H289" s="3">
        <v>59152.9</v>
      </c>
      <c r="I289" s="4">
        <v>0</v>
      </c>
      <c r="J289" s="3">
        <v>354917.39</v>
      </c>
    </row>
    <row r="290" spans="1:10" x14ac:dyDescent="0.35">
      <c r="A290">
        <v>289</v>
      </c>
      <c r="B290" s="2">
        <v>45976</v>
      </c>
      <c r="C290" t="s">
        <v>26</v>
      </c>
      <c r="D290" t="s">
        <v>11</v>
      </c>
      <c r="E290" t="s">
        <v>12</v>
      </c>
      <c r="F290" t="s">
        <v>13</v>
      </c>
      <c r="G290">
        <v>1</v>
      </c>
      <c r="H290" s="3">
        <v>1796.37</v>
      </c>
      <c r="I290" s="4">
        <v>0.03</v>
      </c>
      <c r="J290" s="3">
        <v>1742.48</v>
      </c>
    </row>
    <row r="291" spans="1:10" x14ac:dyDescent="0.35">
      <c r="A291">
        <v>290</v>
      </c>
      <c r="B291" s="2">
        <v>45721</v>
      </c>
      <c r="C291" t="s">
        <v>38</v>
      </c>
      <c r="D291" t="s">
        <v>11</v>
      </c>
      <c r="E291" t="s">
        <v>25</v>
      </c>
      <c r="F291" t="s">
        <v>25</v>
      </c>
      <c r="G291">
        <v>5</v>
      </c>
      <c r="H291" s="3">
        <v>8035.61</v>
      </c>
      <c r="I291" s="4">
        <v>0.03</v>
      </c>
      <c r="J291" s="3">
        <v>38972.69</v>
      </c>
    </row>
    <row r="292" spans="1:10" x14ac:dyDescent="0.35">
      <c r="A292">
        <v>291</v>
      </c>
      <c r="B292" s="2">
        <v>45995</v>
      </c>
      <c r="C292" t="s">
        <v>35</v>
      </c>
      <c r="D292" t="s">
        <v>22</v>
      </c>
      <c r="E292" t="s">
        <v>23</v>
      </c>
      <c r="F292" t="s">
        <v>15</v>
      </c>
      <c r="G292">
        <v>8</v>
      </c>
      <c r="H292" s="3">
        <v>67815.12</v>
      </c>
      <c r="I292" s="4">
        <v>0.05</v>
      </c>
      <c r="J292" s="3">
        <v>515394.94</v>
      </c>
    </row>
    <row r="293" spans="1:10" x14ac:dyDescent="0.35">
      <c r="A293">
        <v>292</v>
      </c>
      <c r="B293" s="2">
        <v>45759</v>
      </c>
      <c r="C293" t="s">
        <v>31</v>
      </c>
      <c r="D293" t="s">
        <v>22</v>
      </c>
      <c r="E293" t="s">
        <v>25</v>
      </c>
      <c r="F293" t="s">
        <v>25</v>
      </c>
      <c r="G293">
        <v>8</v>
      </c>
      <c r="H293" s="3">
        <v>7962.71</v>
      </c>
      <c r="I293" s="4">
        <v>0.05</v>
      </c>
      <c r="J293" s="3">
        <v>60516.57</v>
      </c>
    </row>
    <row r="294" spans="1:10" x14ac:dyDescent="0.35">
      <c r="A294">
        <v>293</v>
      </c>
      <c r="B294" s="2">
        <v>45733</v>
      </c>
      <c r="C294" t="s">
        <v>34</v>
      </c>
      <c r="D294" t="s">
        <v>28</v>
      </c>
      <c r="E294" t="s">
        <v>17</v>
      </c>
      <c r="F294" t="s">
        <v>18</v>
      </c>
      <c r="G294">
        <v>6</v>
      </c>
      <c r="H294" s="3">
        <v>10980.26</v>
      </c>
      <c r="I294" s="4">
        <v>0.08</v>
      </c>
      <c r="J294" s="3">
        <v>60611.01</v>
      </c>
    </row>
    <row r="295" spans="1:10" x14ac:dyDescent="0.35">
      <c r="A295">
        <v>294</v>
      </c>
      <c r="B295" s="2">
        <v>45749</v>
      </c>
      <c r="C295" t="s">
        <v>34</v>
      </c>
      <c r="D295" t="s">
        <v>28</v>
      </c>
      <c r="E295" t="s">
        <v>25</v>
      </c>
      <c r="F295" t="s">
        <v>25</v>
      </c>
      <c r="G295">
        <v>8</v>
      </c>
      <c r="H295" s="3">
        <v>7468.24</v>
      </c>
      <c r="I295" s="4">
        <v>0</v>
      </c>
      <c r="J295" s="3">
        <v>59745.93</v>
      </c>
    </row>
    <row r="296" spans="1:10" x14ac:dyDescent="0.35">
      <c r="A296">
        <v>295</v>
      </c>
      <c r="B296" s="2">
        <v>46010</v>
      </c>
      <c r="C296" t="s">
        <v>26</v>
      </c>
      <c r="D296" t="s">
        <v>11</v>
      </c>
      <c r="E296" t="s">
        <v>23</v>
      </c>
      <c r="F296" t="s">
        <v>15</v>
      </c>
      <c r="G296">
        <v>2</v>
      </c>
      <c r="H296" s="3">
        <v>71883.31</v>
      </c>
      <c r="I296" s="4">
        <v>0.08</v>
      </c>
      <c r="J296" s="3">
        <v>132265.28</v>
      </c>
    </row>
    <row r="297" spans="1:10" x14ac:dyDescent="0.35">
      <c r="A297">
        <v>296</v>
      </c>
      <c r="B297" s="2">
        <v>45734</v>
      </c>
      <c r="C297" t="s">
        <v>19</v>
      </c>
      <c r="D297" t="s">
        <v>20</v>
      </c>
      <c r="E297" t="s">
        <v>23</v>
      </c>
      <c r="F297" t="s">
        <v>15</v>
      </c>
      <c r="G297">
        <v>1</v>
      </c>
      <c r="H297" s="3">
        <v>58487.13</v>
      </c>
      <c r="I297" s="4">
        <v>0.08</v>
      </c>
      <c r="J297" s="3">
        <v>53808.160000000003</v>
      </c>
    </row>
    <row r="298" spans="1:10" x14ac:dyDescent="0.35">
      <c r="A298">
        <v>297</v>
      </c>
      <c r="B298" s="2">
        <v>45747</v>
      </c>
      <c r="C298" t="s">
        <v>26</v>
      </c>
      <c r="D298" t="s">
        <v>11</v>
      </c>
      <c r="E298" t="s">
        <v>14</v>
      </c>
      <c r="F298" t="s">
        <v>15</v>
      </c>
      <c r="G298">
        <v>6</v>
      </c>
      <c r="H298" s="3">
        <v>20062.650000000001</v>
      </c>
      <c r="I298" s="4">
        <v>0.03</v>
      </c>
      <c r="J298" s="3">
        <v>116764.65</v>
      </c>
    </row>
    <row r="299" spans="1:10" x14ac:dyDescent="0.35">
      <c r="A299">
        <v>298</v>
      </c>
      <c r="B299" s="2">
        <v>45962</v>
      </c>
      <c r="C299" t="s">
        <v>31</v>
      </c>
      <c r="D299" t="s">
        <v>22</v>
      </c>
      <c r="E299" t="s">
        <v>14</v>
      </c>
      <c r="F299" t="s">
        <v>15</v>
      </c>
      <c r="G299">
        <v>2</v>
      </c>
      <c r="H299" s="3">
        <v>16017.91</v>
      </c>
      <c r="I299" s="4">
        <v>0.08</v>
      </c>
      <c r="J299" s="3">
        <v>29472.959999999999</v>
      </c>
    </row>
    <row r="300" spans="1:10" x14ac:dyDescent="0.35">
      <c r="A300">
        <v>299</v>
      </c>
      <c r="B300" s="2">
        <v>45919</v>
      </c>
      <c r="C300" t="s">
        <v>16</v>
      </c>
      <c r="D300" t="s">
        <v>11</v>
      </c>
      <c r="E300" t="s">
        <v>17</v>
      </c>
      <c r="F300" t="s">
        <v>18</v>
      </c>
      <c r="G300">
        <v>5</v>
      </c>
      <c r="H300" s="3">
        <v>10650.97</v>
      </c>
      <c r="I300" s="4">
        <v>0.08</v>
      </c>
      <c r="J300" s="3">
        <v>48994.45</v>
      </c>
    </row>
    <row r="301" spans="1:10" x14ac:dyDescent="0.35">
      <c r="A301">
        <v>300</v>
      </c>
      <c r="B301" s="2">
        <v>46005</v>
      </c>
      <c r="C301" t="s">
        <v>34</v>
      </c>
      <c r="D301" t="s">
        <v>28</v>
      </c>
      <c r="E301" t="s">
        <v>23</v>
      </c>
      <c r="F301" t="s">
        <v>15</v>
      </c>
      <c r="G301">
        <v>2</v>
      </c>
      <c r="H301" s="3">
        <v>71978.67</v>
      </c>
      <c r="I301" s="4">
        <v>0.1</v>
      </c>
      <c r="J301" s="3">
        <v>129561.60000000001</v>
      </c>
    </row>
    <row r="302" spans="1:10" x14ac:dyDescent="0.35">
      <c r="A302">
        <v>301</v>
      </c>
      <c r="B302" s="2">
        <v>45741</v>
      </c>
      <c r="C302" t="s">
        <v>31</v>
      </c>
      <c r="D302" t="s">
        <v>22</v>
      </c>
      <c r="E302" t="s">
        <v>12</v>
      </c>
      <c r="F302" t="s">
        <v>13</v>
      </c>
      <c r="G302">
        <v>6</v>
      </c>
      <c r="H302" s="3">
        <v>1793.26</v>
      </c>
      <c r="I302" s="4">
        <v>0.05</v>
      </c>
      <c r="J302" s="3">
        <v>10221.58</v>
      </c>
    </row>
    <row r="303" spans="1:10" x14ac:dyDescent="0.35">
      <c r="A303">
        <v>302</v>
      </c>
      <c r="B303" s="2">
        <v>45660</v>
      </c>
      <c r="C303" t="s">
        <v>24</v>
      </c>
      <c r="D303" t="s">
        <v>22</v>
      </c>
      <c r="E303" t="s">
        <v>12</v>
      </c>
      <c r="F303" t="s">
        <v>13</v>
      </c>
      <c r="G303">
        <v>6</v>
      </c>
      <c r="H303" s="3">
        <v>1779.4</v>
      </c>
      <c r="I303" s="4">
        <v>0.08</v>
      </c>
      <c r="J303" s="3">
        <v>9822.2999999999993</v>
      </c>
    </row>
    <row r="304" spans="1:10" x14ac:dyDescent="0.35">
      <c r="A304">
        <v>303</v>
      </c>
      <c r="B304" s="2">
        <v>45669</v>
      </c>
      <c r="C304" t="s">
        <v>30</v>
      </c>
      <c r="D304" t="s">
        <v>22</v>
      </c>
      <c r="E304" t="s">
        <v>23</v>
      </c>
      <c r="F304" t="s">
        <v>15</v>
      </c>
      <c r="G304">
        <v>4</v>
      </c>
      <c r="H304" s="3">
        <v>58473.43</v>
      </c>
      <c r="I304" s="4">
        <v>0.08</v>
      </c>
      <c r="J304" s="3">
        <v>215182.21</v>
      </c>
    </row>
    <row r="305" spans="1:10" x14ac:dyDescent="0.35">
      <c r="A305">
        <v>304</v>
      </c>
      <c r="B305" s="2">
        <v>45804</v>
      </c>
      <c r="C305" t="s">
        <v>10</v>
      </c>
      <c r="D305" t="s">
        <v>11</v>
      </c>
      <c r="E305" t="s">
        <v>12</v>
      </c>
      <c r="F305" t="s">
        <v>13</v>
      </c>
      <c r="G305">
        <v>5</v>
      </c>
      <c r="H305" s="3">
        <v>1850</v>
      </c>
      <c r="I305" s="4">
        <v>0.05</v>
      </c>
      <c r="J305" s="3">
        <v>8787.5</v>
      </c>
    </row>
    <row r="306" spans="1:10" x14ac:dyDescent="0.35">
      <c r="A306">
        <v>305</v>
      </c>
      <c r="B306" s="2">
        <v>45966</v>
      </c>
      <c r="C306" t="s">
        <v>10</v>
      </c>
      <c r="D306" t="s">
        <v>11</v>
      </c>
      <c r="E306" t="s">
        <v>25</v>
      </c>
      <c r="F306" t="s">
        <v>25</v>
      </c>
      <c r="G306">
        <v>4</v>
      </c>
      <c r="H306" s="3">
        <v>8169.3</v>
      </c>
      <c r="I306" s="4">
        <v>0.08</v>
      </c>
      <c r="J306" s="3">
        <v>30063.02</v>
      </c>
    </row>
    <row r="307" spans="1:10" x14ac:dyDescent="0.35">
      <c r="A307">
        <v>306</v>
      </c>
      <c r="B307" s="2">
        <v>45807</v>
      </c>
      <c r="C307" t="s">
        <v>10</v>
      </c>
      <c r="D307" t="s">
        <v>11</v>
      </c>
      <c r="E307" t="s">
        <v>17</v>
      </c>
      <c r="F307" t="s">
        <v>18</v>
      </c>
      <c r="G307">
        <v>4</v>
      </c>
      <c r="H307" s="3">
        <v>12631.3</v>
      </c>
      <c r="I307" s="4">
        <v>0.05</v>
      </c>
      <c r="J307" s="3">
        <v>47998.94</v>
      </c>
    </row>
    <row r="308" spans="1:10" x14ac:dyDescent="0.35">
      <c r="A308">
        <v>307</v>
      </c>
      <c r="B308" s="2">
        <v>45692</v>
      </c>
      <c r="C308" t="s">
        <v>37</v>
      </c>
      <c r="D308" t="s">
        <v>11</v>
      </c>
      <c r="E308" t="s">
        <v>23</v>
      </c>
      <c r="F308" t="s">
        <v>15</v>
      </c>
      <c r="G308">
        <v>3</v>
      </c>
      <c r="H308" s="3">
        <v>60312.86</v>
      </c>
      <c r="I308" s="4">
        <v>0.05</v>
      </c>
      <c r="J308" s="3">
        <v>171891.66</v>
      </c>
    </row>
    <row r="309" spans="1:10" x14ac:dyDescent="0.35">
      <c r="A309">
        <v>308</v>
      </c>
      <c r="B309" s="2">
        <v>45989</v>
      </c>
      <c r="C309" t="s">
        <v>35</v>
      </c>
      <c r="D309" t="s">
        <v>22</v>
      </c>
      <c r="E309" t="s">
        <v>29</v>
      </c>
      <c r="F309" t="s">
        <v>13</v>
      </c>
      <c r="G309">
        <v>6</v>
      </c>
      <c r="H309" s="3">
        <v>847.66</v>
      </c>
      <c r="I309" s="4">
        <v>0</v>
      </c>
      <c r="J309" s="3">
        <v>5085.96</v>
      </c>
    </row>
    <row r="310" spans="1:10" x14ac:dyDescent="0.35">
      <c r="A310">
        <v>309</v>
      </c>
      <c r="B310" s="2">
        <v>45950</v>
      </c>
      <c r="C310" t="s">
        <v>32</v>
      </c>
      <c r="D310" t="s">
        <v>20</v>
      </c>
      <c r="E310" t="s">
        <v>25</v>
      </c>
      <c r="F310" t="s">
        <v>25</v>
      </c>
      <c r="G310">
        <v>5</v>
      </c>
      <c r="H310" s="3">
        <v>7936.87</v>
      </c>
      <c r="I310" s="4">
        <v>0.08</v>
      </c>
      <c r="J310" s="3">
        <v>36509.61</v>
      </c>
    </row>
    <row r="311" spans="1:10" x14ac:dyDescent="0.35">
      <c r="A311">
        <v>310</v>
      </c>
      <c r="B311" s="2">
        <v>45707</v>
      </c>
      <c r="C311" t="s">
        <v>26</v>
      </c>
      <c r="D311" t="s">
        <v>11</v>
      </c>
      <c r="E311" t="s">
        <v>12</v>
      </c>
      <c r="F311" t="s">
        <v>13</v>
      </c>
      <c r="G311">
        <v>4</v>
      </c>
      <c r="H311" s="3">
        <v>1802.09</v>
      </c>
      <c r="I311" s="4">
        <v>0.08</v>
      </c>
      <c r="J311" s="3">
        <v>6631.7</v>
      </c>
    </row>
    <row r="312" spans="1:10" x14ac:dyDescent="0.35">
      <c r="A312">
        <v>311</v>
      </c>
      <c r="B312" s="2">
        <v>46011</v>
      </c>
      <c r="C312" t="s">
        <v>32</v>
      </c>
      <c r="D312" t="s">
        <v>20</v>
      </c>
      <c r="E312" t="s">
        <v>17</v>
      </c>
      <c r="F312" t="s">
        <v>18</v>
      </c>
      <c r="G312">
        <v>8</v>
      </c>
      <c r="H312" s="3">
        <v>10644.66</v>
      </c>
      <c r="I312" s="4">
        <v>0.05</v>
      </c>
      <c r="J312" s="3">
        <v>80899.39</v>
      </c>
    </row>
    <row r="313" spans="1:10" x14ac:dyDescent="0.35">
      <c r="A313">
        <v>312</v>
      </c>
      <c r="B313" s="2">
        <v>45952</v>
      </c>
      <c r="C313" t="s">
        <v>24</v>
      </c>
      <c r="D313" t="s">
        <v>22</v>
      </c>
      <c r="E313" t="s">
        <v>12</v>
      </c>
      <c r="F313" t="s">
        <v>13</v>
      </c>
      <c r="G313">
        <v>2</v>
      </c>
      <c r="H313" s="3">
        <v>1926.56</v>
      </c>
      <c r="I313" s="4">
        <v>0.05</v>
      </c>
      <c r="J313" s="3">
        <v>3660.46</v>
      </c>
    </row>
    <row r="314" spans="1:10" x14ac:dyDescent="0.35">
      <c r="A314">
        <v>313</v>
      </c>
      <c r="B314" s="2">
        <v>45788</v>
      </c>
      <c r="C314" t="s">
        <v>27</v>
      </c>
      <c r="D314" t="s">
        <v>28</v>
      </c>
      <c r="E314" t="s">
        <v>17</v>
      </c>
      <c r="F314" t="s">
        <v>18</v>
      </c>
      <c r="G314">
        <v>3</v>
      </c>
      <c r="H314" s="3">
        <v>11594.35</v>
      </c>
      <c r="I314" s="4">
        <v>0.03</v>
      </c>
      <c r="J314" s="3">
        <v>33739.57</v>
      </c>
    </row>
    <row r="315" spans="1:10" x14ac:dyDescent="0.35">
      <c r="A315">
        <v>314</v>
      </c>
      <c r="B315" s="2">
        <v>45939</v>
      </c>
      <c r="C315" t="s">
        <v>35</v>
      </c>
      <c r="D315" t="s">
        <v>22</v>
      </c>
      <c r="E315" t="s">
        <v>14</v>
      </c>
      <c r="F315" t="s">
        <v>15</v>
      </c>
      <c r="G315">
        <v>8</v>
      </c>
      <c r="H315" s="3">
        <v>16858.62</v>
      </c>
      <c r="I315" s="4">
        <v>0.08</v>
      </c>
      <c r="J315" s="3">
        <v>124079.46</v>
      </c>
    </row>
    <row r="316" spans="1:10" x14ac:dyDescent="0.35">
      <c r="A316">
        <v>315</v>
      </c>
      <c r="B316" s="2">
        <v>45671</v>
      </c>
      <c r="C316" t="s">
        <v>16</v>
      </c>
      <c r="D316" t="s">
        <v>11</v>
      </c>
      <c r="E316" t="s">
        <v>12</v>
      </c>
      <c r="F316" t="s">
        <v>13</v>
      </c>
      <c r="G316">
        <v>8</v>
      </c>
      <c r="H316" s="3">
        <v>1857.26</v>
      </c>
      <c r="I316" s="4">
        <v>0.05</v>
      </c>
      <c r="J316" s="3">
        <v>14115.16</v>
      </c>
    </row>
    <row r="317" spans="1:10" x14ac:dyDescent="0.35">
      <c r="A317">
        <v>316</v>
      </c>
      <c r="B317" s="2">
        <v>45698</v>
      </c>
      <c r="C317" t="s">
        <v>31</v>
      </c>
      <c r="D317" t="s">
        <v>22</v>
      </c>
      <c r="E317" t="s">
        <v>14</v>
      </c>
      <c r="F317" t="s">
        <v>15</v>
      </c>
      <c r="G317">
        <v>7</v>
      </c>
      <c r="H317" s="3">
        <v>16138.65</v>
      </c>
      <c r="I317" s="4">
        <v>0.05</v>
      </c>
      <c r="J317" s="3">
        <v>107322.05</v>
      </c>
    </row>
    <row r="318" spans="1:10" x14ac:dyDescent="0.35">
      <c r="A318">
        <v>317</v>
      </c>
      <c r="B318" s="2">
        <v>45888</v>
      </c>
      <c r="C318" t="s">
        <v>31</v>
      </c>
      <c r="D318" t="s">
        <v>22</v>
      </c>
      <c r="E318" t="s">
        <v>25</v>
      </c>
      <c r="F318" t="s">
        <v>25</v>
      </c>
      <c r="G318">
        <v>4</v>
      </c>
      <c r="H318" s="3">
        <v>7667.25</v>
      </c>
      <c r="I318" s="4">
        <v>0.05</v>
      </c>
      <c r="J318" s="3">
        <v>29135.56</v>
      </c>
    </row>
    <row r="319" spans="1:10" x14ac:dyDescent="0.35">
      <c r="A319">
        <v>318</v>
      </c>
      <c r="B319" s="2">
        <v>46002</v>
      </c>
      <c r="C319" t="s">
        <v>34</v>
      </c>
      <c r="D319" t="s">
        <v>28</v>
      </c>
      <c r="E319" t="s">
        <v>12</v>
      </c>
      <c r="F319" t="s">
        <v>13</v>
      </c>
      <c r="G319">
        <v>2</v>
      </c>
      <c r="H319" s="3">
        <v>1865.72</v>
      </c>
      <c r="I319" s="4">
        <v>0</v>
      </c>
      <c r="J319" s="3">
        <v>3731.43</v>
      </c>
    </row>
    <row r="320" spans="1:10" x14ac:dyDescent="0.35">
      <c r="A320">
        <v>319</v>
      </c>
      <c r="B320" s="2">
        <v>45821</v>
      </c>
      <c r="C320" t="s">
        <v>34</v>
      </c>
      <c r="D320" t="s">
        <v>28</v>
      </c>
      <c r="E320" t="s">
        <v>12</v>
      </c>
      <c r="F320" t="s">
        <v>13</v>
      </c>
      <c r="G320">
        <v>2</v>
      </c>
      <c r="H320" s="3">
        <v>1587.9</v>
      </c>
      <c r="I320" s="4">
        <v>0.08</v>
      </c>
      <c r="J320" s="3">
        <v>2921.74</v>
      </c>
    </row>
    <row r="321" spans="1:10" x14ac:dyDescent="0.35">
      <c r="A321">
        <v>320</v>
      </c>
      <c r="B321" s="2">
        <v>45750</v>
      </c>
      <c r="C321" t="s">
        <v>35</v>
      </c>
      <c r="D321" t="s">
        <v>22</v>
      </c>
      <c r="E321" t="s">
        <v>17</v>
      </c>
      <c r="F321" t="s">
        <v>18</v>
      </c>
      <c r="G321">
        <v>2</v>
      </c>
      <c r="H321" s="3">
        <v>11048.9</v>
      </c>
      <c r="I321" s="4">
        <v>0</v>
      </c>
      <c r="J321" s="3">
        <v>22097.81</v>
      </c>
    </row>
    <row r="322" spans="1:10" x14ac:dyDescent="0.35">
      <c r="A322">
        <v>321</v>
      </c>
      <c r="B322" s="2">
        <v>45921</v>
      </c>
      <c r="C322" t="s">
        <v>27</v>
      </c>
      <c r="D322" t="s">
        <v>28</v>
      </c>
      <c r="E322" t="s">
        <v>12</v>
      </c>
      <c r="F322" t="s">
        <v>13</v>
      </c>
      <c r="G322">
        <v>6</v>
      </c>
      <c r="H322" s="3">
        <v>1778.16</v>
      </c>
      <c r="I322" s="4">
        <v>0</v>
      </c>
      <c r="J322" s="3">
        <v>10668.93</v>
      </c>
    </row>
    <row r="323" spans="1:10" x14ac:dyDescent="0.35">
      <c r="A323">
        <v>322</v>
      </c>
      <c r="B323" s="2">
        <v>45941</v>
      </c>
      <c r="C323" t="s">
        <v>33</v>
      </c>
      <c r="D323" t="s">
        <v>28</v>
      </c>
      <c r="E323" t="s">
        <v>12</v>
      </c>
      <c r="F323" t="s">
        <v>13</v>
      </c>
      <c r="G323">
        <v>1</v>
      </c>
      <c r="H323" s="3">
        <v>1739.2</v>
      </c>
      <c r="I323" s="4">
        <v>0.03</v>
      </c>
      <c r="J323" s="3">
        <v>1687.02</v>
      </c>
    </row>
    <row r="324" spans="1:10" x14ac:dyDescent="0.35">
      <c r="A324">
        <v>323</v>
      </c>
      <c r="B324" s="2">
        <v>45962</v>
      </c>
      <c r="C324" t="s">
        <v>34</v>
      </c>
      <c r="D324" t="s">
        <v>28</v>
      </c>
      <c r="E324" t="s">
        <v>17</v>
      </c>
      <c r="F324" t="s">
        <v>18</v>
      </c>
      <c r="G324">
        <v>5</v>
      </c>
      <c r="H324" s="3">
        <v>12096.51</v>
      </c>
      <c r="I324" s="4">
        <v>0.03</v>
      </c>
      <c r="J324" s="3">
        <v>58668.09</v>
      </c>
    </row>
    <row r="325" spans="1:10" x14ac:dyDescent="0.35">
      <c r="A325">
        <v>324</v>
      </c>
      <c r="B325" s="2">
        <v>45765</v>
      </c>
      <c r="C325" t="s">
        <v>32</v>
      </c>
      <c r="D325" t="s">
        <v>20</v>
      </c>
      <c r="E325" t="s">
        <v>12</v>
      </c>
      <c r="F325" t="s">
        <v>13</v>
      </c>
      <c r="G325">
        <v>8</v>
      </c>
      <c r="H325" s="3">
        <v>1959.09</v>
      </c>
      <c r="I325" s="4">
        <v>0.05</v>
      </c>
      <c r="J325" s="3">
        <v>14889.11</v>
      </c>
    </row>
    <row r="326" spans="1:10" x14ac:dyDescent="0.35">
      <c r="A326">
        <v>325</v>
      </c>
      <c r="B326" s="2">
        <v>45950</v>
      </c>
      <c r="C326" t="s">
        <v>33</v>
      </c>
      <c r="D326" t="s">
        <v>28</v>
      </c>
      <c r="E326" t="s">
        <v>29</v>
      </c>
      <c r="F326" t="s">
        <v>13</v>
      </c>
      <c r="G326">
        <v>4</v>
      </c>
      <c r="H326" s="3">
        <v>804.33</v>
      </c>
      <c r="I326" s="4">
        <v>0.03</v>
      </c>
      <c r="J326" s="3">
        <v>3120.8</v>
      </c>
    </row>
    <row r="327" spans="1:10" x14ac:dyDescent="0.35">
      <c r="A327">
        <v>326</v>
      </c>
      <c r="B327" s="2">
        <v>45902</v>
      </c>
      <c r="C327" t="s">
        <v>26</v>
      </c>
      <c r="D327" t="s">
        <v>11</v>
      </c>
      <c r="E327" t="s">
        <v>14</v>
      </c>
      <c r="F327" t="s">
        <v>15</v>
      </c>
      <c r="G327">
        <v>5</v>
      </c>
      <c r="H327" s="3">
        <v>16810.71</v>
      </c>
      <c r="I327" s="4">
        <v>0.05</v>
      </c>
      <c r="J327" s="3">
        <v>79850.87</v>
      </c>
    </row>
    <row r="328" spans="1:10" x14ac:dyDescent="0.35">
      <c r="A328">
        <v>327</v>
      </c>
      <c r="B328" s="2">
        <v>45933</v>
      </c>
      <c r="C328" t="s">
        <v>33</v>
      </c>
      <c r="D328" t="s">
        <v>28</v>
      </c>
      <c r="E328" t="s">
        <v>29</v>
      </c>
      <c r="F328" t="s">
        <v>13</v>
      </c>
      <c r="G328">
        <v>1</v>
      </c>
      <c r="H328" s="3">
        <v>800.98</v>
      </c>
      <c r="I328" s="4">
        <v>0.05</v>
      </c>
      <c r="J328" s="3">
        <v>760.93</v>
      </c>
    </row>
    <row r="329" spans="1:10" x14ac:dyDescent="0.35">
      <c r="A329">
        <v>328</v>
      </c>
      <c r="B329" s="2">
        <v>45874</v>
      </c>
      <c r="C329" t="s">
        <v>37</v>
      </c>
      <c r="D329" t="s">
        <v>11</v>
      </c>
      <c r="E329" t="s">
        <v>14</v>
      </c>
      <c r="F329" t="s">
        <v>15</v>
      </c>
      <c r="G329">
        <v>8</v>
      </c>
      <c r="H329" s="3">
        <v>15915.08</v>
      </c>
      <c r="I329" s="4">
        <v>0.05</v>
      </c>
      <c r="J329" s="3">
        <v>120954.61</v>
      </c>
    </row>
    <row r="330" spans="1:10" x14ac:dyDescent="0.35">
      <c r="A330">
        <v>329</v>
      </c>
      <c r="B330" s="2">
        <v>45835</v>
      </c>
      <c r="C330" t="s">
        <v>19</v>
      </c>
      <c r="D330" t="s">
        <v>20</v>
      </c>
      <c r="E330" t="s">
        <v>29</v>
      </c>
      <c r="F330" t="s">
        <v>13</v>
      </c>
      <c r="G330">
        <v>1</v>
      </c>
      <c r="H330" s="3">
        <v>846.91</v>
      </c>
      <c r="I330" s="4">
        <v>0.05</v>
      </c>
      <c r="J330" s="3">
        <v>804.57</v>
      </c>
    </row>
    <row r="331" spans="1:10" x14ac:dyDescent="0.35">
      <c r="A331">
        <v>330</v>
      </c>
      <c r="B331" s="2">
        <v>45958</v>
      </c>
      <c r="C331" t="s">
        <v>10</v>
      </c>
      <c r="D331" t="s">
        <v>11</v>
      </c>
      <c r="E331" t="s">
        <v>12</v>
      </c>
      <c r="F331" t="s">
        <v>13</v>
      </c>
      <c r="G331">
        <v>6</v>
      </c>
      <c r="H331" s="3">
        <v>1596.95</v>
      </c>
      <c r="I331" s="4">
        <v>0</v>
      </c>
      <c r="J331" s="3">
        <v>9581.69</v>
      </c>
    </row>
    <row r="332" spans="1:10" x14ac:dyDescent="0.35">
      <c r="A332">
        <v>331</v>
      </c>
      <c r="B332" s="2">
        <v>45998</v>
      </c>
      <c r="C332" t="s">
        <v>26</v>
      </c>
      <c r="D332" t="s">
        <v>11</v>
      </c>
      <c r="E332" t="s">
        <v>14</v>
      </c>
      <c r="F332" t="s">
        <v>15</v>
      </c>
      <c r="G332">
        <v>2</v>
      </c>
      <c r="H332" s="3">
        <v>16541.490000000002</v>
      </c>
      <c r="I332" s="4">
        <v>0.08</v>
      </c>
      <c r="J332" s="3">
        <v>30436.34</v>
      </c>
    </row>
    <row r="333" spans="1:10" x14ac:dyDescent="0.35">
      <c r="A333">
        <v>332</v>
      </c>
      <c r="B333" s="2">
        <v>45832</v>
      </c>
      <c r="C333" t="s">
        <v>32</v>
      </c>
      <c r="D333" t="s">
        <v>20</v>
      </c>
      <c r="E333" t="s">
        <v>29</v>
      </c>
      <c r="F333" t="s">
        <v>13</v>
      </c>
      <c r="G333">
        <v>8</v>
      </c>
      <c r="H333" s="3">
        <v>1000.08</v>
      </c>
      <c r="I333" s="4">
        <v>0.03</v>
      </c>
      <c r="J333" s="3">
        <v>7760.64</v>
      </c>
    </row>
    <row r="334" spans="1:10" x14ac:dyDescent="0.35">
      <c r="A334">
        <v>333</v>
      </c>
      <c r="B334" s="2">
        <v>45771</v>
      </c>
      <c r="C334" t="s">
        <v>19</v>
      </c>
      <c r="D334" t="s">
        <v>20</v>
      </c>
      <c r="E334" t="s">
        <v>23</v>
      </c>
      <c r="F334" t="s">
        <v>15</v>
      </c>
      <c r="G334">
        <v>7</v>
      </c>
      <c r="H334" s="3">
        <v>63039.03</v>
      </c>
      <c r="I334" s="4">
        <v>0.1</v>
      </c>
      <c r="J334" s="3">
        <v>397145.89</v>
      </c>
    </row>
    <row r="335" spans="1:10" x14ac:dyDescent="0.35">
      <c r="A335">
        <v>334</v>
      </c>
      <c r="B335" s="2">
        <v>45733</v>
      </c>
      <c r="C335" t="s">
        <v>19</v>
      </c>
      <c r="D335" t="s">
        <v>20</v>
      </c>
      <c r="E335" t="s">
        <v>23</v>
      </c>
      <c r="F335" t="s">
        <v>15</v>
      </c>
      <c r="G335">
        <v>2</v>
      </c>
      <c r="H335" s="3">
        <v>66101.509999999995</v>
      </c>
      <c r="I335" s="4">
        <v>0.08</v>
      </c>
      <c r="J335" s="3">
        <v>121626.78</v>
      </c>
    </row>
    <row r="336" spans="1:10" x14ac:dyDescent="0.35">
      <c r="A336">
        <v>335</v>
      </c>
      <c r="B336" s="2">
        <v>45944</v>
      </c>
      <c r="C336" t="s">
        <v>33</v>
      </c>
      <c r="D336" t="s">
        <v>28</v>
      </c>
      <c r="E336" t="s">
        <v>23</v>
      </c>
      <c r="F336" t="s">
        <v>15</v>
      </c>
      <c r="G336">
        <v>6</v>
      </c>
      <c r="H336" s="3">
        <v>66569.509999999995</v>
      </c>
      <c r="I336" s="4">
        <v>0.1</v>
      </c>
      <c r="J336" s="3">
        <v>359475.35</v>
      </c>
    </row>
    <row r="337" spans="1:10" x14ac:dyDescent="0.35">
      <c r="A337">
        <v>336</v>
      </c>
      <c r="B337" s="2">
        <v>45877</v>
      </c>
      <c r="C337" t="s">
        <v>24</v>
      </c>
      <c r="D337" t="s">
        <v>22</v>
      </c>
      <c r="E337" t="s">
        <v>25</v>
      </c>
      <c r="F337" t="s">
        <v>25</v>
      </c>
      <c r="G337">
        <v>5</v>
      </c>
      <c r="H337" s="3">
        <v>7638.93</v>
      </c>
      <c r="I337" s="4">
        <v>0.05</v>
      </c>
      <c r="J337" s="3">
        <v>36284.93</v>
      </c>
    </row>
    <row r="338" spans="1:10" x14ac:dyDescent="0.35">
      <c r="A338">
        <v>337</v>
      </c>
      <c r="B338" s="2">
        <v>45826</v>
      </c>
      <c r="C338" t="s">
        <v>19</v>
      </c>
      <c r="D338" t="s">
        <v>20</v>
      </c>
      <c r="E338" t="s">
        <v>14</v>
      </c>
      <c r="F338" t="s">
        <v>15</v>
      </c>
      <c r="G338">
        <v>8</v>
      </c>
      <c r="H338" s="3">
        <v>20061.39</v>
      </c>
      <c r="I338" s="4">
        <v>0</v>
      </c>
      <c r="J338" s="3">
        <v>160491.14000000001</v>
      </c>
    </row>
    <row r="339" spans="1:10" x14ac:dyDescent="0.35">
      <c r="A339">
        <v>338</v>
      </c>
      <c r="B339" s="2">
        <v>45981</v>
      </c>
      <c r="C339" t="s">
        <v>34</v>
      </c>
      <c r="D339" t="s">
        <v>28</v>
      </c>
      <c r="E339" t="s">
        <v>29</v>
      </c>
      <c r="F339" t="s">
        <v>13</v>
      </c>
      <c r="G339">
        <v>1</v>
      </c>
      <c r="H339" s="3">
        <v>854.36</v>
      </c>
      <c r="I339" s="4">
        <v>0</v>
      </c>
      <c r="J339" s="3">
        <v>854.36</v>
      </c>
    </row>
    <row r="340" spans="1:10" x14ac:dyDescent="0.35">
      <c r="A340">
        <v>339</v>
      </c>
      <c r="B340" s="2">
        <v>45739</v>
      </c>
      <c r="C340" t="s">
        <v>19</v>
      </c>
      <c r="D340" t="s">
        <v>20</v>
      </c>
      <c r="E340" t="s">
        <v>29</v>
      </c>
      <c r="F340" t="s">
        <v>13</v>
      </c>
      <c r="G340">
        <v>6</v>
      </c>
      <c r="H340" s="3">
        <v>936.2</v>
      </c>
      <c r="I340" s="4">
        <v>0.03</v>
      </c>
      <c r="J340" s="3">
        <v>5448.68</v>
      </c>
    </row>
    <row r="341" spans="1:10" x14ac:dyDescent="0.35">
      <c r="A341">
        <v>340</v>
      </c>
      <c r="B341" s="2">
        <v>46001</v>
      </c>
      <c r="C341" t="s">
        <v>35</v>
      </c>
      <c r="D341" t="s">
        <v>22</v>
      </c>
      <c r="E341" t="s">
        <v>23</v>
      </c>
      <c r="F341" t="s">
        <v>15</v>
      </c>
      <c r="G341">
        <v>7</v>
      </c>
      <c r="H341" s="3">
        <v>69958.210000000006</v>
      </c>
      <c r="I341" s="4">
        <v>0.05</v>
      </c>
      <c r="J341" s="3">
        <v>465222.12</v>
      </c>
    </row>
    <row r="342" spans="1:10" x14ac:dyDescent="0.35">
      <c r="A342">
        <v>341</v>
      </c>
      <c r="B342" s="2">
        <v>45733</v>
      </c>
      <c r="C342" t="s">
        <v>31</v>
      </c>
      <c r="D342" t="s">
        <v>22</v>
      </c>
      <c r="E342" t="s">
        <v>25</v>
      </c>
      <c r="F342" t="s">
        <v>25</v>
      </c>
      <c r="G342">
        <v>7</v>
      </c>
      <c r="H342" s="3">
        <v>7184.25</v>
      </c>
      <c r="I342" s="4">
        <v>0</v>
      </c>
      <c r="J342" s="3">
        <v>50289.78</v>
      </c>
    </row>
    <row r="343" spans="1:10" x14ac:dyDescent="0.35">
      <c r="A343">
        <v>342</v>
      </c>
      <c r="B343" s="2">
        <v>45962</v>
      </c>
      <c r="C343" t="s">
        <v>27</v>
      </c>
      <c r="D343" t="s">
        <v>28</v>
      </c>
      <c r="E343" t="s">
        <v>29</v>
      </c>
      <c r="F343" t="s">
        <v>13</v>
      </c>
      <c r="G343">
        <v>3</v>
      </c>
      <c r="H343" s="3">
        <v>888.92</v>
      </c>
      <c r="I343" s="4">
        <v>0.03</v>
      </c>
      <c r="J343" s="3">
        <v>2586.75</v>
      </c>
    </row>
    <row r="344" spans="1:10" x14ac:dyDescent="0.35">
      <c r="A344">
        <v>343</v>
      </c>
      <c r="B344" s="2">
        <v>46012</v>
      </c>
      <c r="C344" t="s">
        <v>24</v>
      </c>
      <c r="D344" t="s">
        <v>22</v>
      </c>
      <c r="E344" t="s">
        <v>23</v>
      </c>
      <c r="F344" t="s">
        <v>15</v>
      </c>
      <c r="G344">
        <v>3</v>
      </c>
      <c r="H344" s="3">
        <v>58341.86</v>
      </c>
      <c r="I344" s="4">
        <v>0.03</v>
      </c>
      <c r="J344" s="3">
        <v>169774.8</v>
      </c>
    </row>
    <row r="345" spans="1:10" x14ac:dyDescent="0.35">
      <c r="A345">
        <v>344</v>
      </c>
      <c r="B345" s="2">
        <v>45660</v>
      </c>
      <c r="C345" t="s">
        <v>16</v>
      </c>
      <c r="D345" t="s">
        <v>11</v>
      </c>
      <c r="E345" t="s">
        <v>25</v>
      </c>
      <c r="F345" t="s">
        <v>25</v>
      </c>
      <c r="G345">
        <v>6</v>
      </c>
      <c r="H345" s="3">
        <v>7434.29</v>
      </c>
      <c r="I345" s="4">
        <v>0.05</v>
      </c>
      <c r="J345" s="3">
        <v>42375.45</v>
      </c>
    </row>
    <row r="346" spans="1:10" x14ac:dyDescent="0.35">
      <c r="A346">
        <v>345</v>
      </c>
      <c r="B346" s="2">
        <v>45774</v>
      </c>
      <c r="C346" t="s">
        <v>37</v>
      </c>
      <c r="D346" t="s">
        <v>11</v>
      </c>
      <c r="E346" t="s">
        <v>14</v>
      </c>
      <c r="F346" t="s">
        <v>15</v>
      </c>
      <c r="G346">
        <v>8</v>
      </c>
      <c r="H346" s="3">
        <v>17910.07</v>
      </c>
      <c r="I346" s="4">
        <v>0.05</v>
      </c>
      <c r="J346" s="3">
        <v>136116.5</v>
      </c>
    </row>
    <row r="347" spans="1:10" x14ac:dyDescent="0.35">
      <c r="A347">
        <v>346</v>
      </c>
      <c r="B347" s="2">
        <v>45950</v>
      </c>
      <c r="C347" t="s">
        <v>35</v>
      </c>
      <c r="D347" t="s">
        <v>22</v>
      </c>
      <c r="E347" t="s">
        <v>14</v>
      </c>
      <c r="F347" t="s">
        <v>15</v>
      </c>
      <c r="G347">
        <v>1</v>
      </c>
      <c r="H347" s="3">
        <v>17562.91</v>
      </c>
      <c r="I347" s="4">
        <v>0.03</v>
      </c>
      <c r="J347" s="3">
        <v>17036.03</v>
      </c>
    </row>
    <row r="348" spans="1:10" x14ac:dyDescent="0.35">
      <c r="A348">
        <v>347</v>
      </c>
      <c r="B348" s="2">
        <v>45983</v>
      </c>
      <c r="C348" t="s">
        <v>30</v>
      </c>
      <c r="D348" t="s">
        <v>22</v>
      </c>
      <c r="E348" t="s">
        <v>12</v>
      </c>
      <c r="F348" t="s">
        <v>13</v>
      </c>
      <c r="G348">
        <v>4</v>
      </c>
      <c r="H348" s="3">
        <v>1914.43</v>
      </c>
      <c r="I348" s="4">
        <v>0.05</v>
      </c>
      <c r="J348" s="3">
        <v>7274.83</v>
      </c>
    </row>
    <row r="349" spans="1:10" x14ac:dyDescent="0.35">
      <c r="A349">
        <v>348</v>
      </c>
      <c r="B349" s="2">
        <v>45764</v>
      </c>
      <c r="C349" t="s">
        <v>31</v>
      </c>
      <c r="D349" t="s">
        <v>22</v>
      </c>
      <c r="E349" t="s">
        <v>14</v>
      </c>
      <c r="F349" t="s">
        <v>15</v>
      </c>
      <c r="G349">
        <v>4</v>
      </c>
      <c r="H349" s="3">
        <v>15918.76</v>
      </c>
      <c r="I349" s="4">
        <v>0.1</v>
      </c>
      <c r="J349" s="3">
        <v>57307.55</v>
      </c>
    </row>
    <row r="350" spans="1:10" x14ac:dyDescent="0.35">
      <c r="A350">
        <v>349</v>
      </c>
      <c r="B350" s="2">
        <v>45708</v>
      </c>
      <c r="C350" t="s">
        <v>10</v>
      </c>
      <c r="D350" t="s">
        <v>11</v>
      </c>
      <c r="E350" t="s">
        <v>29</v>
      </c>
      <c r="F350" t="s">
        <v>13</v>
      </c>
      <c r="G350">
        <v>4</v>
      </c>
      <c r="H350" s="3">
        <v>933.41</v>
      </c>
      <c r="I350" s="4">
        <v>0.1</v>
      </c>
      <c r="J350" s="3">
        <v>3360.29</v>
      </c>
    </row>
    <row r="351" spans="1:10" x14ac:dyDescent="0.35">
      <c r="A351">
        <v>350</v>
      </c>
      <c r="B351" s="2">
        <v>45991</v>
      </c>
      <c r="C351" t="s">
        <v>30</v>
      </c>
      <c r="D351" t="s">
        <v>22</v>
      </c>
      <c r="E351" t="s">
        <v>12</v>
      </c>
      <c r="F351" t="s">
        <v>13</v>
      </c>
      <c r="G351">
        <v>5</v>
      </c>
      <c r="H351" s="3">
        <v>1668.05</v>
      </c>
      <c r="I351" s="4">
        <v>0.05</v>
      </c>
      <c r="J351" s="3">
        <v>7923.23</v>
      </c>
    </row>
    <row r="352" spans="1:10" x14ac:dyDescent="0.35">
      <c r="A352">
        <v>351</v>
      </c>
      <c r="B352" s="2">
        <v>45814</v>
      </c>
      <c r="C352" t="s">
        <v>35</v>
      </c>
      <c r="D352" t="s">
        <v>22</v>
      </c>
      <c r="E352" t="s">
        <v>12</v>
      </c>
      <c r="F352" t="s">
        <v>13</v>
      </c>
      <c r="G352">
        <v>8</v>
      </c>
      <c r="H352" s="3">
        <v>1873.48</v>
      </c>
      <c r="I352" s="4">
        <v>0.05</v>
      </c>
      <c r="J352" s="3">
        <v>14238.46</v>
      </c>
    </row>
    <row r="353" spans="1:10" x14ac:dyDescent="0.35">
      <c r="A353">
        <v>352</v>
      </c>
      <c r="B353" s="2">
        <v>45815</v>
      </c>
      <c r="C353" t="s">
        <v>30</v>
      </c>
      <c r="D353" t="s">
        <v>22</v>
      </c>
      <c r="E353" t="s">
        <v>12</v>
      </c>
      <c r="F353" t="s">
        <v>13</v>
      </c>
      <c r="G353">
        <v>3</v>
      </c>
      <c r="H353" s="3">
        <v>1622.72</v>
      </c>
      <c r="I353" s="4">
        <v>0.05</v>
      </c>
      <c r="J353" s="3">
        <v>4624.75</v>
      </c>
    </row>
    <row r="354" spans="1:10" x14ac:dyDescent="0.35">
      <c r="A354">
        <v>353</v>
      </c>
      <c r="B354" s="2">
        <v>46007</v>
      </c>
      <c r="C354" t="s">
        <v>19</v>
      </c>
      <c r="D354" t="s">
        <v>20</v>
      </c>
      <c r="E354" t="s">
        <v>14</v>
      </c>
      <c r="F354" t="s">
        <v>15</v>
      </c>
      <c r="G354">
        <v>1</v>
      </c>
      <c r="H354" s="3">
        <v>19396.11</v>
      </c>
      <c r="I354" s="4">
        <v>0.1</v>
      </c>
      <c r="J354" s="3">
        <v>17456.5</v>
      </c>
    </row>
    <row r="355" spans="1:10" x14ac:dyDescent="0.35">
      <c r="A355">
        <v>354</v>
      </c>
      <c r="B355" s="2">
        <v>45969</v>
      </c>
      <c r="C355" t="s">
        <v>33</v>
      </c>
      <c r="D355" t="s">
        <v>28</v>
      </c>
      <c r="E355" t="s">
        <v>12</v>
      </c>
      <c r="F355" t="s">
        <v>13</v>
      </c>
      <c r="G355">
        <v>2</v>
      </c>
      <c r="H355" s="3">
        <v>1663.74</v>
      </c>
      <c r="I355" s="4">
        <v>0.08</v>
      </c>
      <c r="J355" s="3">
        <v>3061.28</v>
      </c>
    </row>
    <row r="356" spans="1:10" x14ac:dyDescent="0.35">
      <c r="A356">
        <v>355</v>
      </c>
      <c r="B356" s="2">
        <v>45920</v>
      </c>
      <c r="C356" t="s">
        <v>32</v>
      </c>
      <c r="D356" t="s">
        <v>20</v>
      </c>
      <c r="E356" t="s">
        <v>14</v>
      </c>
      <c r="F356" t="s">
        <v>15</v>
      </c>
      <c r="G356">
        <v>5</v>
      </c>
      <c r="H356" s="3">
        <v>19999.84</v>
      </c>
      <c r="I356" s="4">
        <v>0.03</v>
      </c>
      <c r="J356" s="3">
        <v>96999.24</v>
      </c>
    </row>
    <row r="357" spans="1:10" x14ac:dyDescent="0.35">
      <c r="A357">
        <v>356</v>
      </c>
      <c r="B357" s="2">
        <v>45798</v>
      </c>
      <c r="C357" t="s">
        <v>38</v>
      </c>
      <c r="D357" t="s">
        <v>11</v>
      </c>
      <c r="E357" t="s">
        <v>23</v>
      </c>
      <c r="F357" t="s">
        <v>15</v>
      </c>
      <c r="G357">
        <v>4</v>
      </c>
      <c r="H357" s="3">
        <v>67077.16</v>
      </c>
      <c r="I357" s="4">
        <v>0</v>
      </c>
      <c r="J357" s="3">
        <v>268308.65000000002</v>
      </c>
    </row>
    <row r="358" spans="1:10" x14ac:dyDescent="0.35">
      <c r="A358">
        <v>357</v>
      </c>
      <c r="B358" s="2">
        <v>45683</v>
      </c>
      <c r="C358" t="s">
        <v>10</v>
      </c>
      <c r="D358" t="s">
        <v>11</v>
      </c>
      <c r="E358" t="s">
        <v>25</v>
      </c>
      <c r="F358" t="s">
        <v>25</v>
      </c>
      <c r="G358">
        <v>6</v>
      </c>
      <c r="H358" s="3">
        <v>7668.37</v>
      </c>
      <c r="I358" s="4">
        <v>0.05</v>
      </c>
      <c r="J358" s="3">
        <v>43709.71</v>
      </c>
    </row>
    <row r="359" spans="1:10" x14ac:dyDescent="0.35">
      <c r="A359">
        <v>358</v>
      </c>
      <c r="B359" s="2">
        <v>45729</v>
      </c>
      <c r="C359" t="s">
        <v>34</v>
      </c>
      <c r="D359" t="s">
        <v>28</v>
      </c>
      <c r="E359" t="s">
        <v>14</v>
      </c>
      <c r="F359" t="s">
        <v>15</v>
      </c>
      <c r="G359">
        <v>8</v>
      </c>
      <c r="H359" s="3">
        <v>19468.2</v>
      </c>
      <c r="I359" s="4">
        <v>0.05</v>
      </c>
      <c r="J359" s="3">
        <v>147958.32999999999</v>
      </c>
    </row>
    <row r="360" spans="1:10" x14ac:dyDescent="0.35">
      <c r="A360">
        <v>359</v>
      </c>
      <c r="B360" s="2">
        <v>45809</v>
      </c>
      <c r="C360" t="s">
        <v>16</v>
      </c>
      <c r="D360" t="s">
        <v>11</v>
      </c>
      <c r="E360" t="s">
        <v>23</v>
      </c>
      <c r="F360" t="s">
        <v>15</v>
      </c>
      <c r="G360">
        <v>2</v>
      </c>
      <c r="H360" s="3">
        <v>61912.14</v>
      </c>
      <c r="I360" s="4">
        <v>0.03</v>
      </c>
      <c r="J360" s="3">
        <v>120109.56</v>
      </c>
    </row>
    <row r="361" spans="1:10" x14ac:dyDescent="0.35">
      <c r="A361">
        <v>360</v>
      </c>
      <c r="B361" s="2">
        <v>45821</v>
      </c>
      <c r="C361" t="s">
        <v>36</v>
      </c>
      <c r="D361" t="s">
        <v>20</v>
      </c>
      <c r="E361" t="s">
        <v>12</v>
      </c>
      <c r="F361" t="s">
        <v>13</v>
      </c>
      <c r="G361">
        <v>4</v>
      </c>
      <c r="H361" s="3">
        <v>1933.72</v>
      </c>
      <c r="I361" s="4">
        <v>0.05</v>
      </c>
      <c r="J361" s="3">
        <v>7348.12</v>
      </c>
    </row>
    <row r="362" spans="1:10" x14ac:dyDescent="0.35">
      <c r="A362">
        <v>361</v>
      </c>
      <c r="B362" s="2">
        <v>45765</v>
      </c>
      <c r="C362" t="s">
        <v>27</v>
      </c>
      <c r="D362" t="s">
        <v>28</v>
      </c>
      <c r="E362" t="s">
        <v>23</v>
      </c>
      <c r="F362" t="s">
        <v>15</v>
      </c>
      <c r="G362">
        <v>7</v>
      </c>
      <c r="H362" s="3">
        <v>59821.02</v>
      </c>
      <c r="I362" s="4">
        <v>0.05</v>
      </c>
      <c r="J362" s="3">
        <v>397809.79</v>
      </c>
    </row>
    <row r="363" spans="1:10" x14ac:dyDescent="0.35">
      <c r="A363">
        <v>362</v>
      </c>
      <c r="B363" s="2">
        <v>45950</v>
      </c>
      <c r="C363" t="s">
        <v>19</v>
      </c>
      <c r="D363" t="s">
        <v>20</v>
      </c>
      <c r="E363" t="s">
        <v>23</v>
      </c>
      <c r="F363" t="s">
        <v>15</v>
      </c>
      <c r="G363">
        <v>7</v>
      </c>
      <c r="H363" s="3">
        <v>59983.76</v>
      </c>
      <c r="I363" s="4">
        <v>0.05</v>
      </c>
      <c r="J363" s="3">
        <v>398891.98</v>
      </c>
    </row>
    <row r="364" spans="1:10" x14ac:dyDescent="0.35">
      <c r="A364">
        <v>363</v>
      </c>
      <c r="B364" s="2">
        <v>45735</v>
      </c>
      <c r="C364" t="s">
        <v>30</v>
      </c>
      <c r="D364" t="s">
        <v>22</v>
      </c>
      <c r="E364" t="s">
        <v>17</v>
      </c>
      <c r="F364" t="s">
        <v>18</v>
      </c>
      <c r="G364">
        <v>4</v>
      </c>
      <c r="H364" s="3">
        <v>12397.33</v>
      </c>
      <c r="I364" s="4">
        <v>0.03</v>
      </c>
      <c r="J364" s="3">
        <v>48101.63</v>
      </c>
    </row>
    <row r="365" spans="1:10" x14ac:dyDescent="0.35">
      <c r="A365">
        <v>364</v>
      </c>
      <c r="B365" s="2">
        <v>45948</v>
      </c>
      <c r="C365" t="s">
        <v>35</v>
      </c>
      <c r="D365" t="s">
        <v>22</v>
      </c>
      <c r="E365" t="s">
        <v>29</v>
      </c>
      <c r="F365" t="s">
        <v>13</v>
      </c>
      <c r="G365">
        <v>1</v>
      </c>
      <c r="H365" s="3">
        <v>1005.36</v>
      </c>
      <c r="I365" s="4">
        <v>0.05</v>
      </c>
      <c r="J365" s="3">
        <v>955.09</v>
      </c>
    </row>
    <row r="366" spans="1:10" x14ac:dyDescent="0.35">
      <c r="A366">
        <v>365</v>
      </c>
      <c r="B366" s="2">
        <v>45824</v>
      </c>
      <c r="C366" t="s">
        <v>10</v>
      </c>
      <c r="D366" t="s">
        <v>11</v>
      </c>
      <c r="E366" t="s">
        <v>29</v>
      </c>
      <c r="F366" t="s">
        <v>13</v>
      </c>
      <c r="G366">
        <v>2</v>
      </c>
      <c r="H366" s="3">
        <v>884.49</v>
      </c>
      <c r="I366" s="4">
        <v>0.05</v>
      </c>
      <c r="J366" s="3">
        <v>1680.53</v>
      </c>
    </row>
    <row r="367" spans="1:10" x14ac:dyDescent="0.35">
      <c r="A367">
        <v>366</v>
      </c>
      <c r="B367" s="2">
        <v>45676</v>
      </c>
      <c r="C367" t="s">
        <v>34</v>
      </c>
      <c r="D367" t="s">
        <v>28</v>
      </c>
      <c r="E367" t="s">
        <v>23</v>
      </c>
      <c r="F367" t="s">
        <v>15</v>
      </c>
      <c r="G367">
        <v>3</v>
      </c>
      <c r="H367" s="3">
        <v>59202.95</v>
      </c>
      <c r="I367" s="4">
        <v>0.1</v>
      </c>
      <c r="J367" s="3">
        <v>159847.97</v>
      </c>
    </row>
    <row r="368" spans="1:10" x14ac:dyDescent="0.35">
      <c r="A368">
        <v>367</v>
      </c>
      <c r="B368" s="2">
        <v>45693</v>
      </c>
      <c r="C368" t="s">
        <v>26</v>
      </c>
      <c r="D368" t="s">
        <v>11</v>
      </c>
      <c r="E368" t="s">
        <v>14</v>
      </c>
      <c r="F368" t="s">
        <v>15</v>
      </c>
      <c r="G368">
        <v>6</v>
      </c>
      <c r="H368" s="3">
        <v>17024.37</v>
      </c>
      <c r="I368" s="4">
        <v>0.05</v>
      </c>
      <c r="J368" s="3">
        <v>97038.93</v>
      </c>
    </row>
    <row r="369" spans="1:10" x14ac:dyDescent="0.35">
      <c r="A369">
        <v>368</v>
      </c>
      <c r="B369" s="2">
        <v>46010</v>
      </c>
      <c r="C369" t="s">
        <v>16</v>
      </c>
      <c r="D369" t="s">
        <v>11</v>
      </c>
      <c r="E369" t="s">
        <v>29</v>
      </c>
      <c r="F369" t="s">
        <v>13</v>
      </c>
      <c r="G369">
        <v>1</v>
      </c>
      <c r="H369" s="3">
        <v>878.66</v>
      </c>
      <c r="I369" s="4">
        <v>0.05</v>
      </c>
      <c r="J369" s="3">
        <v>834.72</v>
      </c>
    </row>
    <row r="370" spans="1:10" x14ac:dyDescent="0.35">
      <c r="A370">
        <v>369</v>
      </c>
      <c r="B370" s="2">
        <v>45973</v>
      </c>
      <c r="C370" t="s">
        <v>33</v>
      </c>
      <c r="D370" t="s">
        <v>28</v>
      </c>
      <c r="E370" t="s">
        <v>25</v>
      </c>
      <c r="F370" t="s">
        <v>25</v>
      </c>
      <c r="G370">
        <v>1</v>
      </c>
      <c r="H370" s="3">
        <v>7396.34</v>
      </c>
      <c r="I370" s="4">
        <v>0.05</v>
      </c>
      <c r="J370" s="3">
        <v>7026.52</v>
      </c>
    </row>
    <row r="371" spans="1:10" x14ac:dyDescent="0.35">
      <c r="A371">
        <v>370</v>
      </c>
      <c r="B371" s="2">
        <v>45921</v>
      </c>
      <c r="C371" t="s">
        <v>19</v>
      </c>
      <c r="D371" t="s">
        <v>20</v>
      </c>
      <c r="E371" t="s">
        <v>12</v>
      </c>
      <c r="F371" t="s">
        <v>13</v>
      </c>
      <c r="G371">
        <v>5</v>
      </c>
      <c r="H371" s="3">
        <v>1860.55</v>
      </c>
      <c r="I371" s="4">
        <v>0</v>
      </c>
      <c r="J371" s="3">
        <v>9302.76</v>
      </c>
    </row>
    <row r="372" spans="1:10" x14ac:dyDescent="0.35">
      <c r="A372">
        <v>371</v>
      </c>
      <c r="B372" s="2">
        <v>45916</v>
      </c>
      <c r="C372" t="s">
        <v>38</v>
      </c>
      <c r="D372" t="s">
        <v>11</v>
      </c>
      <c r="E372" t="s">
        <v>14</v>
      </c>
      <c r="F372" t="s">
        <v>15</v>
      </c>
      <c r="G372">
        <v>3</v>
      </c>
      <c r="H372" s="3">
        <v>17241.12</v>
      </c>
      <c r="I372" s="4">
        <v>0.05</v>
      </c>
      <c r="J372" s="3">
        <v>49137.2</v>
      </c>
    </row>
    <row r="373" spans="1:10" x14ac:dyDescent="0.35">
      <c r="A373">
        <v>372</v>
      </c>
      <c r="B373" s="2">
        <v>45866</v>
      </c>
      <c r="C373" t="s">
        <v>38</v>
      </c>
      <c r="D373" t="s">
        <v>11</v>
      </c>
      <c r="E373" t="s">
        <v>25</v>
      </c>
      <c r="F373" t="s">
        <v>25</v>
      </c>
      <c r="G373">
        <v>2</v>
      </c>
      <c r="H373" s="3">
        <v>7791.31</v>
      </c>
      <c r="I373" s="4">
        <v>0.1</v>
      </c>
      <c r="J373" s="3">
        <v>14024.36</v>
      </c>
    </row>
    <row r="374" spans="1:10" x14ac:dyDescent="0.35">
      <c r="A374">
        <v>373</v>
      </c>
      <c r="B374" s="2">
        <v>45957</v>
      </c>
      <c r="C374" t="s">
        <v>36</v>
      </c>
      <c r="D374" t="s">
        <v>20</v>
      </c>
      <c r="E374" t="s">
        <v>14</v>
      </c>
      <c r="F374" t="s">
        <v>15</v>
      </c>
      <c r="G374">
        <v>7</v>
      </c>
      <c r="H374" s="3">
        <v>16099.81</v>
      </c>
      <c r="I374" s="4">
        <v>0.05</v>
      </c>
      <c r="J374" s="3">
        <v>107063.77</v>
      </c>
    </row>
    <row r="375" spans="1:10" x14ac:dyDescent="0.35">
      <c r="A375">
        <v>374</v>
      </c>
      <c r="B375" s="2">
        <v>45968</v>
      </c>
      <c r="C375" t="s">
        <v>27</v>
      </c>
      <c r="D375" t="s">
        <v>28</v>
      </c>
      <c r="E375" t="s">
        <v>12</v>
      </c>
      <c r="F375" t="s">
        <v>13</v>
      </c>
      <c r="G375">
        <v>5</v>
      </c>
      <c r="H375" s="3">
        <v>1882.08</v>
      </c>
      <c r="I375" s="4">
        <v>0</v>
      </c>
      <c r="J375" s="3">
        <v>9410.41</v>
      </c>
    </row>
    <row r="376" spans="1:10" x14ac:dyDescent="0.35">
      <c r="A376">
        <v>375</v>
      </c>
      <c r="B376" s="2">
        <v>45669</v>
      </c>
      <c r="C376" t="s">
        <v>24</v>
      </c>
      <c r="D376" t="s">
        <v>22</v>
      </c>
      <c r="E376" t="s">
        <v>14</v>
      </c>
      <c r="F376" t="s">
        <v>15</v>
      </c>
      <c r="G376">
        <v>6</v>
      </c>
      <c r="H376" s="3">
        <v>19390.2</v>
      </c>
      <c r="I376" s="4">
        <v>0.05</v>
      </c>
      <c r="J376" s="3">
        <v>110524.16</v>
      </c>
    </row>
    <row r="377" spans="1:10" x14ac:dyDescent="0.35">
      <c r="A377">
        <v>376</v>
      </c>
      <c r="B377" s="2">
        <v>45894</v>
      </c>
      <c r="C377" t="s">
        <v>32</v>
      </c>
      <c r="D377" t="s">
        <v>20</v>
      </c>
      <c r="E377" t="s">
        <v>12</v>
      </c>
      <c r="F377" t="s">
        <v>13</v>
      </c>
      <c r="G377">
        <v>8</v>
      </c>
      <c r="H377" s="3">
        <v>1984.54</v>
      </c>
      <c r="I377" s="4">
        <v>0.08</v>
      </c>
      <c r="J377" s="3">
        <v>14606.22</v>
      </c>
    </row>
    <row r="378" spans="1:10" x14ac:dyDescent="0.35">
      <c r="A378">
        <v>377</v>
      </c>
      <c r="B378" s="2">
        <v>46017</v>
      </c>
      <c r="C378" t="s">
        <v>10</v>
      </c>
      <c r="D378" t="s">
        <v>11</v>
      </c>
      <c r="E378" t="s">
        <v>12</v>
      </c>
      <c r="F378" t="s">
        <v>13</v>
      </c>
      <c r="G378">
        <v>3</v>
      </c>
      <c r="H378" s="3">
        <v>2012.75</v>
      </c>
      <c r="I378" s="4">
        <v>0</v>
      </c>
      <c r="J378" s="3">
        <v>6038.26</v>
      </c>
    </row>
    <row r="379" spans="1:10" x14ac:dyDescent="0.35">
      <c r="A379">
        <v>378</v>
      </c>
      <c r="B379" s="2">
        <v>45888</v>
      </c>
      <c r="C379" t="s">
        <v>16</v>
      </c>
      <c r="D379" t="s">
        <v>11</v>
      </c>
      <c r="E379" t="s">
        <v>12</v>
      </c>
      <c r="F379" t="s">
        <v>13</v>
      </c>
      <c r="G379">
        <v>1</v>
      </c>
      <c r="H379" s="3">
        <v>1809.05</v>
      </c>
      <c r="I379" s="4">
        <v>0.08</v>
      </c>
      <c r="J379" s="3">
        <v>1664.33</v>
      </c>
    </row>
    <row r="380" spans="1:10" x14ac:dyDescent="0.35">
      <c r="A380">
        <v>379</v>
      </c>
      <c r="B380" s="2">
        <v>45883</v>
      </c>
      <c r="C380" t="s">
        <v>24</v>
      </c>
      <c r="D380" t="s">
        <v>22</v>
      </c>
      <c r="E380" t="s">
        <v>23</v>
      </c>
      <c r="F380" t="s">
        <v>15</v>
      </c>
      <c r="G380">
        <v>5</v>
      </c>
      <c r="H380" s="3">
        <v>69399.64</v>
      </c>
      <c r="I380" s="4">
        <v>0.08</v>
      </c>
      <c r="J380" s="3">
        <v>319238.34000000003</v>
      </c>
    </row>
    <row r="381" spans="1:10" x14ac:dyDescent="0.35">
      <c r="A381">
        <v>380</v>
      </c>
      <c r="B381" s="2">
        <v>45723</v>
      </c>
      <c r="C381" t="s">
        <v>35</v>
      </c>
      <c r="D381" t="s">
        <v>22</v>
      </c>
      <c r="E381" t="s">
        <v>25</v>
      </c>
      <c r="F381" t="s">
        <v>25</v>
      </c>
      <c r="G381">
        <v>4</v>
      </c>
      <c r="H381" s="3">
        <v>7073.6</v>
      </c>
      <c r="I381" s="4">
        <v>0.03</v>
      </c>
      <c r="J381" s="3">
        <v>27445.58</v>
      </c>
    </row>
    <row r="382" spans="1:10" x14ac:dyDescent="0.35">
      <c r="A382">
        <v>381</v>
      </c>
      <c r="B382" s="2">
        <v>45988</v>
      </c>
      <c r="C382" t="s">
        <v>34</v>
      </c>
      <c r="D382" t="s">
        <v>28</v>
      </c>
      <c r="E382" t="s">
        <v>29</v>
      </c>
      <c r="F382" t="s">
        <v>13</v>
      </c>
      <c r="G382">
        <v>2</v>
      </c>
      <c r="H382" s="3">
        <v>911.62</v>
      </c>
      <c r="I382" s="4">
        <v>0.1</v>
      </c>
      <c r="J382" s="3">
        <v>1640.92</v>
      </c>
    </row>
    <row r="383" spans="1:10" x14ac:dyDescent="0.35">
      <c r="A383">
        <v>382</v>
      </c>
      <c r="B383" s="2">
        <v>45968</v>
      </c>
      <c r="C383" t="s">
        <v>36</v>
      </c>
      <c r="D383" t="s">
        <v>20</v>
      </c>
      <c r="E383" t="s">
        <v>12</v>
      </c>
      <c r="F383" t="s">
        <v>13</v>
      </c>
      <c r="G383">
        <v>6</v>
      </c>
      <c r="H383" s="3">
        <v>1843.46</v>
      </c>
      <c r="I383" s="4">
        <v>0.05</v>
      </c>
      <c r="J383" s="3">
        <v>10507.7</v>
      </c>
    </row>
    <row r="384" spans="1:10" x14ac:dyDescent="0.35">
      <c r="A384">
        <v>383</v>
      </c>
      <c r="B384" s="2">
        <v>45758</v>
      </c>
      <c r="C384" t="s">
        <v>38</v>
      </c>
      <c r="D384" t="s">
        <v>11</v>
      </c>
      <c r="E384" t="s">
        <v>17</v>
      </c>
      <c r="F384" t="s">
        <v>18</v>
      </c>
      <c r="G384">
        <v>6</v>
      </c>
      <c r="H384" s="3">
        <v>13417.42</v>
      </c>
      <c r="I384" s="4">
        <v>0.05</v>
      </c>
      <c r="J384" s="3">
        <v>76479.27</v>
      </c>
    </row>
    <row r="385" spans="1:10" x14ac:dyDescent="0.35">
      <c r="A385">
        <v>384</v>
      </c>
      <c r="B385" s="2">
        <v>45739</v>
      </c>
      <c r="C385" t="s">
        <v>26</v>
      </c>
      <c r="D385" t="s">
        <v>11</v>
      </c>
      <c r="E385" t="s">
        <v>14</v>
      </c>
      <c r="F385" t="s">
        <v>15</v>
      </c>
      <c r="G385">
        <v>4</v>
      </c>
      <c r="H385" s="3">
        <v>16342.7</v>
      </c>
      <c r="I385" s="4">
        <v>0.1</v>
      </c>
      <c r="J385" s="3">
        <v>58833.73</v>
      </c>
    </row>
    <row r="386" spans="1:10" x14ac:dyDescent="0.35">
      <c r="A386">
        <v>385</v>
      </c>
      <c r="B386" s="2">
        <v>45791</v>
      </c>
      <c r="C386" t="s">
        <v>35</v>
      </c>
      <c r="D386" t="s">
        <v>22</v>
      </c>
      <c r="E386" t="s">
        <v>17</v>
      </c>
      <c r="F386" t="s">
        <v>18</v>
      </c>
      <c r="G386">
        <v>6</v>
      </c>
      <c r="H386" s="3">
        <v>13060</v>
      </c>
      <c r="I386" s="4">
        <v>0.08</v>
      </c>
      <c r="J386" s="3">
        <v>72091.22</v>
      </c>
    </row>
    <row r="387" spans="1:10" x14ac:dyDescent="0.35">
      <c r="A387">
        <v>386</v>
      </c>
      <c r="B387" s="2">
        <v>45723</v>
      </c>
      <c r="C387" t="s">
        <v>36</v>
      </c>
      <c r="D387" t="s">
        <v>20</v>
      </c>
      <c r="E387" t="s">
        <v>12</v>
      </c>
      <c r="F387" t="s">
        <v>13</v>
      </c>
      <c r="G387">
        <v>6</v>
      </c>
      <c r="H387" s="3">
        <v>1758.09</v>
      </c>
      <c r="I387" s="4">
        <v>0</v>
      </c>
      <c r="J387" s="3">
        <v>10548.52</v>
      </c>
    </row>
    <row r="388" spans="1:10" x14ac:dyDescent="0.35">
      <c r="A388">
        <v>387</v>
      </c>
      <c r="B388" s="2">
        <v>45913</v>
      </c>
      <c r="C388" t="s">
        <v>33</v>
      </c>
      <c r="D388" t="s">
        <v>28</v>
      </c>
      <c r="E388" t="s">
        <v>14</v>
      </c>
      <c r="F388" t="s">
        <v>15</v>
      </c>
      <c r="G388">
        <v>3</v>
      </c>
      <c r="H388" s="3">
        <v>20054.64</v>
      </c>
      <c r="I388" s="4">
        <v>0.03</v>
      </c>
      <c r="J388" s="3">
        <v>58358.99</v>
      </c>
    </row>
    <row r="389" spans="1:10" x14ac:dyDescent="0.35">
      <c r="A389">
        <v>388</v>
      </c>
      <c r="B389" s="2">
        <v>45821</v>
      </c>
      <c r="C389" t="s">
        <v>27</v>
      </c>
      <c r="D389" t="s">
        <v>28</v>
      </c>
      <c r="E389" t="s">
        <v>23</v>
      </c>
      <c r="F389" t="s">
        <v>15</v>
      </c>
      <c r="G389">
        <v>2</v>
      </c>
      <c r="H389" s="3">
        <v>70647.429999999993</v>
      </c>
      <c r="I389" s="4">
        <v>0</v>
      </c>
      <c r="J389" s="3">
        <v>141294.85</v>
      </c>
    </row>
    <row r="390" spans="1:10" x14ac:dyDescent="0.35">
      <c r="A390">
        <v>389</v>
      </c>
      <c r="B390" s="2">
        <v>45682</v>
      </c>
      <c r="C390" t="s">
        <v>30</v>
      </c>
      <c r="D390" t="s">
        <v>22</v>
      </c>
      <c r="E390" t="s">
        <v>25</v>
      </c>
      <c r="F390" t="s">
        <v>25</v>
      </c>
      <c r="G390">
        <v>1</v>
      </c>
      <c r="H390" s="3">
        <v>7976.66</v>
      </c>
      <c r="I390" s="4">
        <v>0.05</v>
      </c>
      <c r="J390" s="3">
        <v>7577.82</v>
      </c>
    </row>
    <row r="391" spans="1:10" x14ac:dyDescent="0.35">
      <c r="A391">
        <v>390</v>
      </c>
      <c r="B391" s="2">
        <v>45682</v>
      </c>
      <c r="C391" t="s">
        <v>35</v>
      </c>
      <c r="D391" t="s">
        <v>22</v>
      </c>
      <c r="E391" t="s">
        <v>29</v>
      </c>
      <c r="F391" t="s">
        <v>13</v>
      </c>
      <c r="G391">
        <v>2</v>
      </c>
      <c r="H391" s="3">
        <v>797.58</v>
      </c>
      <c r="I391" s="4">
        <v>0</v>
      </c>
      <c r="J391" s="3">
        <v>1595.15</v>
      </c>
    </row>
    <row r="392" spans="1:10" x14ac:dyDescent="0.35">
      <c r="A392">
        <v>391</v>
      </c>
      <c r="B392" s="2">
        <v>45753</v>
      </c>
      <c r="C392" t="s">
        <v>30</v>
      </c>
      <c r="D392" t="s">
        <v>22</v>
      </c>
      <c r="E392" t="s">
        <v>12</v>
      </c>
      <c r="F392" t="s">
        <v>13</v>
      </c>
      <c r="G392">
        <v>5</v>
      </c>
      <c r="H392" s="3">
        <v>2001.24</v>
      </c>
      <c r="I392" s="4">
        <v>0.05</v>
      </c>
      <c r="J392" s="3">
        <v>9505.8700000000008</v>
      </c>
    </row>
    <row r="393" spans="1:10" x14ac:dyDescent="0.35">
      <c r="A393">
        <v>392</v>
      </c>
      <c r="B393" s="2">
        <v>45973</v>
      </c>
      <c r="C393" t="s">
        <v>21</v>
      </c>
      <c r="D393" t="s">
        <v>22</v>
      </c>
      <c r="E393" t="s">
        <v>29</v>
      </c>
      <c r="F393" t="s">
        <v>13</v>
      </c>
      <c r="G393">
        <v>7</v>
      </c>
      <c r="H393" s="3">
        <v>886.93</v>
      </c>
      <c r="I393" s="4">
        <v>0.05</v>
      </c>
      <c r="J393" s="3">
        <v>5898.11</v>
      </c>
    </row>
    <row r="394" spans="1:10" x14ac:dyDescent="0.35">
      <c r="A394">
        <v>393</v>
      </c>
      <c r="B394" s="2">
        <v>45717</v>
      </c>
      <c r="C394" t="s">
        <v>30</v>
      </c>
      <c r="D394" t="s">
        <v>22</v>
      </c>
      <c r="E394" t="s">
        <v>25</v>
      </c>
      <c r="F394" t="s">
        <v>25</v>
      </c>
      <c r="G394">
        <v>8</v>
      </c>
      <c r="H394" s="3">
        <v>7715.26</v>
      </c>
      <c r="I394" s="4">
        <v>0.03</v>
      </c>
      <c r="J394" s="3">
        <v>59870.400000000001</v>
      </c>
    </row>
    <row r="395" spans="1:10" x14ac:dyDescent="0.35">
      <c r="A395">
        <v>394</v>
      </c>
      <c r="B395" s="2">
        <v>45923</v>
      </c>
      <c r="C395" t="s">
        <v>10</v>
      </c>
      <c r="D395" t="s">
        <v>11</v>
      </c>
      <c r="E395" t="s">
        <v>17</v>
      </c>
      <c r="F395" t="s">
        <v>18</v>
      </c>
      <c r="G395">
        <v>7</v>
      </c>
      <c r="H395" s="3">
        <v>12808.59</v>
      </c>
      <c r="I395" s="4">
        <v>0</v>
      </c>
      <c r="J395" s="3">
        <v>89660.15</v>
      </c>
    </row>
    <row r="396" spans="1:10" x14ac:dyDescent="0.35">
      <c r="A396">
        <v>395</v>
      </c>
      <c r="B396" s="2">
        <v>45713</v>
      </c>
      <c r="C396" t="s">
        <v>34</v>
      </c>
      <c r="D396" t="s">
        <v>28</v>
      </c>
      <c r="E396" t="s">
        <v>14</v>
      </c>
      <c r="F396" t="s">
        <v>15</v>
      </c>
      <c r="G396">
        <v>6</v>
      </c>
      <c r="H396" s="3">
        <v>16089.61</v>
      </c>
      <c r="I396" s="4">
        <v>0.1</v>
      </c>
      <c r="J396" s="3">
        <v>86883.9</v>
      </c>
    </row>
    <row r="397" spans="1:10" x14ac:dyDescent="0.35">
      <c r="A397">
        <v>396</v>
      </c>
      <c r="B397" s="2">
        <v>45986</v>
      </c>
      <c r="C397" t="s">
        <v>30</v>
      </c>
      <c r="D397" t="s">
        <v>22</v>
      </c>
      <c r="E397" t="s">
        <v>23</v>
      </c>
      <c r="F397" t="s">
        <v>15</v>
      </c>
      <c r="G397">
        <v>7</v>
      </c>
      <c r="H397" s="3">
        <v>59419.09</v>
      </c>
      <c r="I397" s="4">
        <v>0.03</v>
      </c>
      <c r="J397" s="3">
        <v>403455.62</v>
      </c>
    </row>
    <row r="398" spans="1:10" x14ac:dyDescent="0.35">
      <c r="A398">
        <v>397</v>
      </c>
      <c r="B398" s="2">
        <v>45909</v>
      </c>
      <c r="C398" t="s">
        <v>21</v>
      </c>
      <c r="D398" t="s">
        <v>22</v>
      </c>
      <c r="E398" t="s">
        <v>25</v>
      </c>
      <c r="F398" t="s">
        <v>25</v>
      </c>
      <c r="G398">
        <v>6</v>
      </c>
      <c r="H398" s="3">
        <v>7845.89</v>
      </c>
      <c r="I398" s="4">
        <v>0</v>
      </c>
      <c r="J398" s="3">
        <v>47075.34</v>
      </c>
    </row>
    <row r="399" spans="1:10" x14ac:dyDescent="0.35">
      <c r="A399">
        <v>398</v>
      </c>
      <c r="B399" s="2">
        <v>46016</v>
      </c>
      <c r="C399" t="s">
        <v>32</v>
      </c>
      <c r="D399" t="s">
        <v>20</v>
      </c>
      <c r="E399" t="s">
        <v>12</v>
      </c>
      <c r="F399" t="s">
        <v>13</v>
      </c>
      <c r="G399">
        <v>4</v>
      </c>
      <c r="H399" s="3">
        <v>1935.64</v>
      </c>
      <c r="I399" s="4">
        <v>0.1</v>
      </c>
      <c r="J399" s="3">
        <v>6968.29</v>
      </c>
    </row>
    <row r="400" spans="1:10" x14ac:dyDescent="0.35">
      <c r="A400">
        <v>399</v>
      </c>
      <c r="B400" s="2">
        <v>45888</v>
      </c>
      <c r="C400" t="s">
        <v>21</v>
      </c>
      <c r="D400" t="s">
        <v>22</v>
      </c>
      <c r="E400" t="s">
        <v>12</v>
      </c>
      <c r="F400" t="s">
        <v>13</v>
      </c>
      <c r="G400">
        <v>5</v>
      </c>
      <c r="H400" s="3">
        <v>1811.68</v>
      </c>
      <c r="I400" s="4">
        <v>0.05</v>
      </c>
      <c r="J400" s="3">
        <v>8605.49</v>
      </c>
    </row>
    <row r="401" spans="1:10" x14ac:dyDescent="0.35">
      <c r="A401">
        <v>400</v>
      </c>
      <c r="B401" s="2">
        <v>45664</v>
      </c>
      <c r="C401" t="s">
        <v>19</v>
      </c>
      <c r="D401" t="s">
        <v>20</v>
      </c>
      <c r="E401" t="s">
        <v>29</v>
      </c>
      <c r="F401" t="s">
        <v>13</v>
      </c>
      <c r="G401">
        <v>4</v>
      </c>
      <c r="H401" s="3">
        <v>933.28</v>
      </c>
      <c r="I401" s="4">
        <v>0.05</v>
      </c>
      <c r="J401" s="3">
        <v>3546.47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ColWidth="10" defaultRowHeight="14.5" x14ac:dyDescent="0.35"/>
  <cols>
    <col min="1" max="1" width="22" customWidth="1"/>
    <col min="2" max="2" width="14" customWidth="1"/>
    <col min="3" max="3" width="16" customWidth="1"/>
  </cols>
  <sheetData>
    <row r="1" spans="1:3" x14ac:dyDescent="0.35">
      <c r="A1" s="5" t="s">
        <v>2</v>
      </c>
      <c r="B1" s="5" t="s">
        <v>3</v>
      </c>
      <c r="C1" s="5" t="s">
        <v>57</v>
      </c>
    </row>
    <row r="2" spans="1:3" x14ac:dyDescent="0.35">
      <c r="A2" t="s">
        <v>32</v>
      </c>
      <c r="B2" t="s">
        <v>20</v>
      </c>
      <c r="C2" t="s">
        <v>58</v>
      </c>
    </row>
    <row r="3" spans="1:3" x14ac:dyDescent="0.35">
      <c r="A3" t="s">
        <v>19</v>
      </c>
      <c r="B3" t="s">
        <v>20</v>
      </c>
      <c r="C3" t="s">
        <v>59</v>
      </c>
    </row>
    <row r="4" spans="1:3" x14ac:dyDescent="0.35">
      <c r="A4" t="s">
        <v>36</v>
      </c>
      <c r="B4" t="s">
        <v>20</v>
      </c>
      <c r="C4" t="s">
        <v>60</v>
      </c>
    </row>
    <row r="5" spans="1:3" x14ac:dyDescent="0.35">
      <c r="A5" t="s">
        <v>26</v>
      </c>
      <c r="B5" t="s">
        <v>11</v>
      </c>
      <c r="C5" t="s">
        <v>61</v>
      </c>
    </row>
    <row r="6" spans="1:3" x14ac:dyDescent="0.35">
      <c r="A6" t="s">
        <v>37</v>
      </c>
      <c r="B6" t="s">
        <v>11</v>
      </c>
      <c r="C6" t="s">
        <v>62</v>
      </c>
    </row>
    <row r="7" spans="1:3" x14ac:dyDescent="0.35">
      <c r="A7" t="s">
        <v>38</v>
      </c>
      <c r="B7" t="s">
        <v>11</v>
      </c>
      <c r="C7" t="s">
        <v>63</v>
      </c>
    </row>
    <row r="8" spans="1:3" x14ac:dyDescent="0.35">
      <c r="A8" t="s">
        <v>10</v>
      </c>
      <c r="B8" t="s">
        <v>11</v>
      </c>
      <c r="C8" t="s">
        <v>58</v>
      </c>
    </row>
    <row r="9" spans="1:3" x14ac:dyDescent="0.35">
      <c r="A9" t="s">
        <v>16</v>
      </c>
      <c r="B9" t="s">
        <v>11</v>
      </c>
      <c r="C9" t="s">
        <v>59</v>
      </c>
    </row>
    <row r="10" spans="1:3" x14ac:dyDescent="0.35">
      <c r="A10" t="s">
        <v>34</v>
      </c>
      <c r="B10" t="s">
        <v>28</v>
      </c>
      <c r="C10" t="s">
        <v>60</v>
      </c>
    </row>
    <row r="11" spans="1:3" x14ac:dyDescent="0.35">
      <c r="A11" t="s">
        <v>27</v>
      </c>
      <c r="B11" t="s">
        <v>28</v>
      </c>
      <c r="C11" t="s">
        <v>61</v>
      </c>
    </row>
    <row r="12" spans="1:3" x14ac:dyDescent="0.35">
      <c r="A12" t="s">
        <v>33</v>
      </c>
      <c r="B12" t="s">
        <v>28</v>
      </c>
      <c r="C12" t="s">
        <v>62</v>
      </c>
    </row>
    <row r="13" spans="1:3" x14ac:dyDescent="0.35">
      <c r="A13" t="s">
        <v>21</v>
      </c>
      <c r="B13" t="s">
        <v>22</v>
      </c>
      <c r="C13" t="s">
        <v>63</v>
      </c>
    </row>
    <row r="14" spans="1:3" x14ac:dyDescent="0.35">
      <c r="A14" t="s">
        <v>35</v>
      </c>
      <c r="B14" t="s">
        <v>22</v>
      </c>
      <c r="C14" t="s">
        <v>58</v>
      </c>
    </row>
    <row r="15" spans="1:3" x14ac:dyDescent="0.35">
      <c r="A15" t="s">
        <v>31</v>
      </c>
      <c r="B15" t="s">
        <v>22</v>
      </c>
      <c r="C15" t="s">
        <v>59</v>
      </c>
    </row>
    <row r="16" spans="1:3" x14ac:dyDescent="0.35">
      <c r="A16" t="s">
        <v>30</v>
      </c>
      <c r="B16" t="s">
        <v>22</v>
      </c>
      <c r="C16" t="s">
        <v>60</v>
      </c>
    </row>
    <row r="17" spans="1:3" x14ac:dyDescent="0.35">
      <c r="A17" t="s">
        <v>24</v>
      </c>
      <c r="B17" t="s">
        <v>22</v>
      </c>
      <c r="C17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sqref="A1:E1"/>
    </sheetView>
  </sheetViews>
  <sheetFormatPr defaultColWidth="10" defaultRowHeight="14.5" x14ac:dyDescent="0.35"/>
  <cols>
    <col min="1" max="1" width="22" customWidth="1"/>
    <col min="2" max="2" width="16" customWidth="1"/>
    <col min="3" max="3" width="14" customWidth="1"/>
    <col min="4" max="4" width="18" customWidth="1"/>
    <col min="5" max="5" width="22" customWidth="1"/>
  </cols>
  <sheetData>
    <row r="1" spans="1:5" ht="23.5" x14ac:dyDescent="0.55000000000000004">
      <c r="A1" s="9" t="s">
        <v>64</v>
      </c>
      <c r="B1" s="10"/>
      <c r="C1" s="10"/>
      <c r="D1" s="10"/>
      <c r="E1" s="10"/>
    </row>
    <row r="3" spans="1:5" x14ac:dyDescent="0.35">
      <c r="A3" s="6" t="s">
        <v>2</v>
      </c>
      <c r="B3" s="6" t="s">
        <v>9</v>
      </c>
      <c r="C3" s="6" t="s">
        <v>6</v>
      </c>
      <c r="D3" s="6" t="s">
        <v>65</v>
      </c>
      <c r="E3" s="6" t="s">
        <v>66</v>
      </c>
    </row>
    <row r="4" spans="1:5" x14ac:dyDescent="0.35">
      <c r="A4" t="s">
        <v>32</v>
      </c>
      <c r="B4" s="3">
        <f>SUMIF(Raw_Data!$C:$C,A4,Raw_Data!$J:$J)</f>
        <v>2272636.4300000006</v>
      </c>
      <c r="C4">
        <f>SUMIF(Raw_Data!$C:$C,A4,Raw_Data!$G:$G)</f>
        <v>118</v>
      </c>
      <c r="D4" t="str">
        <f>VLOOKUP(A4,Lookup!$A:$C,2,FALSE)</f>
        <v>East</v>
      </c>
      <c r="E4" t="str">
        <f>INDEX(Lookup!$C:$C,MATCH(A4,Lookup!$A:$A,0))</f>
        <v>Amit</v>
      </c>
    </row>
    <row r="5" spans="1:5" x14ac:dyDescent="0.35">
      <c r="A5" t="s">
        <v>19</v>
      </c>
      <c r="B5" s="3">
        <f>SUMIF(Raw_Data!$C:$C,A5,Raw_Data!$J:$J)</f>
        <v>1428648.9400000002</v>
      </c>
      <c r="C5">
        <f>SUMIF(Raw_Data!$C:$C,A5,Raw_Data!$G:$G)</f>
        <v>70</v>
      </c>
      <c r="D5" t="str">
        <f>VLOOKUP(A5,Lookup!$A:$C,2,FALSE)</f>
        <v>East</v>
      </c>
      <c r="E5" t="str">
        <f>INDEX(Lookup!$C:$C,MATCH(A5,Lookup!$A:$A,0))</f>
        <v>Neha</v>
      </c>
    </row>
    <row r="6" spans="1:5" x14ac:dyDescent="0.35">
      <c r="A6" t="s">
        <v>36</v>
      </c>
      <c r="B6" s="3">
        <f>SUMIF(Raw_Data!$C:$C,A6,Raw_Data!$J:$J)</f>
        <v>1446192.31</v>
      </c>
      <c r="C6">
        <f>SUMIF(Raw_Data!$C:$C,A6,Raw_Data!$G:$G)</f>
        <v>121</v>
      </c>
      <c r="D6" t="str">
        <f>VLOOKUP(A6,Lookup!$A:$C,2,FALSE)</f>
        <v>East</v>
      </c>
      <c r="E6" t="str">
        <f>INDEX(Lookup!$C:$C,MATCH(A6,Lookup!$A:$A,0))</f>
        <v>Ravi</v>
      </c>
    </row>
    <row r="7" spans="1:5" x14ac:dyDescent="0.35">
      <c r="A7" t="s">
        <v>26</v>
      </c>
      <c r="B7" s="3">
        <f>SUMIF(Raw_Data!$C:$C,A7,Raw_Data!$J:$J)</f>
        <v>2550155.79</v>
      </c>
      <c r="C7">
        <f>SUMIF(Raw_Data!$C:$C,A7,Raw_Data!$G:$G)</f>
        <v>111</v>
      </c>
      <c r="D7" t="str">
        <f>VLOOKUP(A7,Lookup!$A:$C,2,FALSE)</f>
        <v>North</v>
      </c>
      <c r="E7" t="str">
        <f>INDEX(Lookup!$C:$C,MATCH(A7,Lookup!$A:$A,0))</f>
        <v>Priya</v>
      </c>
    </row>
    <row r="8" spans="1:5" x14ac:dyDescent="0.35">
      <c r="A8" t="s">
        <v>37</v>
      </c>
      <c r="B8" s="3">
        <f>SUMIF(Raw_Data!$C:$C,A8,Raw_Data!$J:$J)</f>
        <v>1504764.33</v>
      </c>
      <c r="C8">
        <f>SUMIF(Raw_Data!$C:$C,A8,Raw_Data!$G:$G)</f>
        <v>63</v>
      </c>
      <c r="D8" t="str">
        <f>VLOOKUP(A8,Lookup!$A:$C,2,FALSE)</f>
        <v>North</v>
      </c>
      <c r="E8" t="str">
        <f>INDEX(Lookup!$C:$C,MATCH(A8,Lookup!$A:$A,0))</f>
        <v>Sanjay</v>
      </c>
    </row>
    <row r="9" spans="1:5" x14ac:dyDescent="0.35">
      <c r="A9" t="s">
        <v>38</v>
      </c>
      <c r="B9" s="3">
        <f>SUMIF(Raw_Data!$C:$C,A9,Raw_Data!$J:$J)</f>
        <v>1860235.0500000003</v>
      </c>
      <c r="C9">
        <f>SUMIF(Raw_Data!$C:$C,A9,Raw_Data!$G:$G)</f>
        <v>84</v>
      </c>
      <c r="D9" t="str">
        <f>VLOOKUP(A9,Lookup!$A:$C,2,FALSE)</f>
        <v>North</v>
      </c>
      <c r="E9" t="str">
        <f>INDEX(Lookup!$C:$C,MATCH(A9,Lookup!$A:$A,0))</f>
        <v>Anita</v>
      </c>
    </row>
    <row r="10" spans="1:5" x14ac:dyDescent="0.35">
      <c r="A10" t="s">
        <v>10</v>
      </c>
      <c r="B10" s="3">
        <f>SUMIF(Raw_Data!$C:$C,A10,Raw_Data!$J:$J)</f>
        <v>2359918.2099999995</v>
      </c>
      <c r="C10">
        <f>SUMIF(Raw_Data!$C:$C,A10,Raw_Data!$G:$G)</f>
        <v>164</v>
      </c>
      <c r="D10" t="str">
        <f>VLOOKUP(A10,Lookup!$A:$C,2,FALSE)</f>
        <v>North</v>
      </c>
      <c r="E10" t="str">
        <f>INDEX(Lookup!$C:$C,MATCH(A10,Lookup!$A:$A,0))</f>
        <v>Amit</v>
      </c>
    </row>
    <row r="11" spans="1:5" x14ac:dyDescent="0.35">
      <c r="A11" t="s">
        <v>16</v>
      </c>
      <c r="B11" s="3">
        <f>SUMIF(Raw_Data!$C:$C,A11,Raw_Data!$J:$J)</f>
        <v>2060248.6199999996</v>
      </c>
      <c r="C11">
        <f>SUMIF(Raw_Data!$C:$C,A11,Raw_Data!$G:$G)</f>
        <v>117</v>
      </c>
      <c r="D11" t="str">
        <f>VLOOKUP(A11,Lookup!$A:$C,2,FALSE)</f>
        <v>North</v>
      </c>
      <c r="E11" t="str">
        <f>INDEX(Lookup!$C:$C,MATCH(A11,Lookup!$A:$A,0))</f>
        <v>Neha</v>
      </c>
    </row>
    <row r="12" spans="1:5" x14ac:dyDescent="0.35">
      <c r="A12" t="s">
        <v>34</v>
      </c>
      <c r="B12" s="3">
        <f>SUMIF(Raw_Data!$C:$C,A12,Raw_Data!$J:$J)</f>
        <v>2841717.4500000007</v>
      </c>
      <c r="C12">
        <f>SUMIF(Raw_Data!$C:$C,A12,Raw_Data!$G:$G)</f>
        <v>131</v>
      </c>
      <c r="D12" t="str">
        <f>VLOOKUP(A12,Lookup!$A:$C,2,FALSE)</f>
        <v>West</v>
      </c>
      <c r="E12" t="str">
        <f>INDEX(Lookup!$C:$C,MATCH(A12,Lookup!$A:$A,0))</f>
        <v>Ravi</v>
      </c>
    </row>
    <row r="13" spans="1:5" x14ac:dyDescent="0.35">
      <c r="A13" t="s">
        <v>27</v>
      </c>
      <c r="B13" s="3">
        <f>SUMIF(Raw_Data!$C:$C,A13,Raw_Data!$J:$J)</f>
        <v>2758932.3000000003</v>
      </c>
      <c r="C13">
        <f>SUMIF(Raw_Data!$C:$C,A13,Raw_Data!$G:$G)</f>
        <v>153</v>
      </c>
      <c r="D13" t="str">
        <f>VLOOKUP(A13,Lookup!$A:$C,2,FALSE)</f>
        <v>West</v>
      </c>
      <c r="E13" t="str">
        <f>INDEX(Lookup!$C:$C,MATCH(A13,Lookup!$A:$A,0))</f>
        <v>Priya</v>
      </c>
    </row>
    <row r="14" spans="1:5" x14ac:dyDescent="0.35">
      <c r="A14" t="s">
        <v>33</v>
      </c>
      <c r="B14" s="3">
        <f>SUMIF(Raw_Data!$C:$C,A14,Raw_Data!$J:$J)</f>
        <v>1393088.2200000002</v>
      </c>
      <c r="C14">
        <f>SUMIF(Raw_Data!$C:$C,A14,Raw_Data!$G:$G)</f>
        <v>93</v>
      </c>
      <c r="D14" t="str">
        <f>VLOOKUP(A14,Lookup!$A:$C,2,FALSE)</f>
        <v>West</v>
      </c>
      <c r="E14" t="str">
        <f>INDEX(Lookup!$C:$C,MATCH(A14,Lookup!$A:$A,0))</f>
        <v>Sanjay</v>
      </c>
    </row>
    <row r="15" spans="1:5" x14ac:dyDescent="0.35">
      <c r="A15" t="s">
        <v>21</v>
      </c>
      <c r="B15" s="3">
        <f>SUMIF(Raw_Data!$C:$C,A15,Raw_Data!$J:$J)</f>
        <v>1312458.3800000004</v>
      </c>
      <c r="C15">
        <f>SUMIF(Raw_Data!$C:$C,A15,Raw_Data!$G:$G)</f>
        <v>107</v>
      </c>
      <c r="D15" t="str">
        <f>VLOOKUP(A15,Lookup!$A:$C,2,FALSE)</f>
        <v>South</v>
      </c>
      <c r="E15" t="str">
        <f>INDEX(Lookup!$C:$C,MATCH(A15,Lookup!$A:$A,0))</f>
        <v>Anita</v>
      </c>
    </row>
    <row r="16" spans="1:5" x14ac:dyDescent="0.35">
      <c r="A16" t="s">
        <v>35</v>
      </c>
      <c r="B16" s="3">
        <f>SUMIF(Raw_Data!$C:$C,A16,Raw_Data!$J:$J)</f>
        <v>2222604.0299999998</v>
      </c>
      <c r="C16">
        <f>SUMIF(Raw_Data!$C:$C,A16,Raw_Data!$G:$G)</f>
        <v>117</v>
      </c>
      <c r="D16" t="str">
        <f>VLOOKUP(A16,Lookup!$A:$C,2,FALSE)</f>
        <v>South</v>
      </c>
      <c r="E16" t="str">
        <f>INDEX(Lookup!$C:$C,MATCH(A16,Lookup!$A:$A,0))</f>
        <v>Amit</v>
      </c>
    </row>
    <row r="17" spans="1:5" x14ac:dyDescent="0.35">
      <c r="A17" t="s">
        <v>31</v>
      </c>
      <c r="B17" s="3">
        <f>SUMIF(Raw_Data!$C:$C,A17,Raw_Data!$J:$J)</f>
        <v>1542718.7000000004</v>
      </c>
      <c r="C17">
        <f>SUMIF(Raw_Data!$C:$C,A17,Raw_Data!$G:$G)</f>
        <v>113</v>
      </c>
      <c r="D17" t="str">
        <f>VLOOKUP(A17,Lookup!$A:$C,2,FALSE)</f>
        <v>South</v>
      </c>
      <c r="E17" t="str">
        <f>INDEX(Lookup!$C:$C,MATCH(A17,Lookup!$A:$A,0))</f>
        <v>Neha</v>
      </c>
    </row>
    <row r="18" spans="1:5" x14ac:dyDescent="0.35">
      <c r="A18" t="s">
        <v>30</v>
      </c>
      <c r="B18" s="3">
        <f>SUMIF(Raw_Data!$C:$C,A18,Raw_Data!$J:$J)</f>
        <v>2058204.94</v>
      </c>
      <c r="C18">
        <f>SUMIF(Raw_Data!$C:$C,A18,Raw_Data!$G:$G)</f>
        <v>103</v>
      </c>
      <c r="D18" t="str">
        <f>VLOOKUP(A18,Lookup!$A:$C,2,FALSE)</f>
        <v>South</v>
      </c>
      <c r="E18" t="str">
        <f>INDEX(Lookup!$C:$C,MATCH(A18,Lookup!$A:$A,0))</f>
        <v>Ravi</v>
      </c>
    </row>
    <row r="19" spans="1:5" x14ac:dyDescent="0.35">
      <c r="A19" t="s">
        <v>24</v>
      </c>
      <c r="B19" s="3">
        <f>SUMIF(Raw_Data!$C:$C,A19,Raw_Data!$J:$J)</f>
        <v>1788427.2</v>
      </c>
      <c r="C19">
        <f>SUMIF(Raw_Data!$C:$C,A19,Raw_Data!$G:$G)</f>
        <v>101</v>
      </c>
      <c r="D19" t="str">
        <f>VLOOKUP(A19,Lookup!$A:$C,2,FALSE)</f>
        <v>South</v>
      </c>
      <c r="E19" t="str">
        <f>INDEX(Lookup!$C:$C,MATCH(A19,Lookup!$A:$A,0))</f>
        <v>Priya</v>
      </c>
    </row>
    <row r="22" spans="1:5" x14ac:dyDescent="0.35">
      <c r="A22" s="5" t="s">
        <v>4</v>
      </c>
      <c r="B22" s="5" t="s">
        <v>9</v>
      </c>
      <c r="C22" s="5" t="s">
        <v>6</v>
      </c>
    </row>
    <row r="23" spans="1:5" x14ac:dyDescent="0.35">
      <c r="A23" t="s">
        <v>23</v>
      </c>
      <c r="B23" s="3">
        <f>SUMIF(Raw_Data!$E:$E,A23,Raw_Data!$J:$J)</f>
        <v>19278403.589999992</v>
      </c>
      <c r="C23">
        <f>SUMIF(Raw_Data!$E:$E,A23,Raw_Data!$G:$G)</f>
        <v>310</v>
      </c>
    </row>
    <row r="24" spans="1:5" x14ac:dyDescent="0.35">
      <c r="A24" t="s">
        <v>14</v>
      </c>
      <c r="B24" s="3">
        <f>SUMIF(Raw_Data!$E:$E,A24,Raw_Data!$J:$J)</f>
        <v>5909901.2100000018</v>
      </c>
      <c r="C24">
        <f>SUMIF(Raw_Data!$E:$E,A24,Raw_Data!$G:$G)</f>
        <v>344</v>
      </c>
    </row>
    <row r="25" spans="1:5" x14ac:dyDescent="0.35">
      <c r="A25" t="s">
        <v>17</v>
      </c>
      <c r="B25" s="3">
        <f>SUMIF(Raw_Data!$E:$E,A25,Raw_Data!$J:$J)</f>
        <v>3405102.2099999995</v>
      </c>
      <c r="C25">
        <f>SUMIF(Raw_Data!$E:$E,A25,Raw_Data!$G:$G)</f>
        <v>295</v>
      </c>
    </row>
    <row r="26" spans="1:5" x14ac:dyDescent="0.35">
      <c r="A26" t="s">
        <v>12</v>
      </c>
      <c r="B26" s="3">
        <f>SUMIF(Raw_Data!$E:$E,A26,Raw_Data!$J:$J)</f>
        <v>553330.28</v>
      </c>
      <c r="C26">
        <f>SUMIF(Raw_Data!$E:$E,A26,Raw_Data!$G:$G)</f>
        <v>320</v>
      </c>
    </row>
    <row r="27" spans="1:5" x14ac:dyDescent="0.35">
      <c r="A27" t="s">
        <v>29</v>
      </c>
      <c r="B27" s="3">
        <f>SUMIF(Raw_Data!$E:$E,A27,Raw_Data!$J:$J)</f>
        <v>183431.45</v>
      </c>
      <c r="C27">
        <f>SUMIF(Raw_Data!$E:$E,A27,Raw_Data!$G:$G)</f>
        <v>214</v>
      </c>
    </row>
    <row r="28" spans="1:5" x14ac:dyDescent="0.35">
      <c r="A28" t="s">
        <v>25</v>
      </c>
      <c r="B28" s="3">
        <f>SUMIF(Raw_Data!$E:$E,A28,Raw_Data!$J:$J)</f>
        <v>2070782.1600000004</v>
      </c>
      <c r="C28">
        <f>SUMIF(Raw_Data!$E:$E,A28,Raw_Data!$G:$G)</f>
        <v>283</v>
      </c>
    </row>
  </sheetData>
  <mergeCells count="1">
    <mergeCell ref="A1:E1"/>
  </mergeCells>
  <conditionalFormatting sqref="B4:B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9"/>
  <sheetViews>
    <sheetView showGridLines="0" workbookViewId="0"/>
  </sheetViews>
  <sheetFormatPr defaultColWidth="10" defaultRowHeight="14.5" x14ac:dyDescent="0.35"/>
  <cols>
    <col min="1" max="15" width="14" customWidth="1"/>
  </cols>
  <sheetData>
    <row r="2" spans="2:8" x14ac:dyDescent="0.35">
      <c r="B2" s="11" t="s">
        <v>39</v>
      </c>
      <c r="C2" s="10"/>
      <c r="D2" s="10"/>
      <c r="E2" s="10"/>
      <c r="F2" s="10"/>
      <c r="G2" s="10"/>
      <c r="H2" s="10"/>
    </row>
    <row r="3" spans="2:8" x14ac:dyDescent="0.35">
      <c r="B3" s="10"/>
      <c r="C3" s="10"/>
      <c r="D3" s="10"/>
      <c r="E3" s="10"/>
      <c r="F3" s="10"/>
      <c r="G3" s="10"/>
      <c r="H3" s="10"/>
    </row>
    <row r="5" spans="2:8" x14ac:dyDescent="0.35">
      <c r="B5" s="6" t="s">
        <v>40</v>
      </c>
      <c r="D5" s="6" t="s">
        <v>41</v>
      </c>
      <c r="F5" s="6" t="s">
        <v>42</v>
      </c>
      <c r="H5" s="6" t="s">
        <v>43</v>
      </c>
    </row>
    <row r="6" spans="2:8" ht="19.5" x14ac:dyDescent="0.45">
      <c r="B6" s="7">
        <f>SUM(Raw_Data!J:J)</f>
        <v>31400950.900000017</v>
      </c>
      <c r="D6" s="8">
        <f>SUM(Raw_Data!G:G)</f>
        <v>1766</v>
      </c>
      <c r="F6" s="8">
        <f>COUNTA(Raw_Data!A:A)-1</f>
        <v>400</v>
      </c>
      <c r="H6" s="7">
        <f>AVERAGE(Raw_Data!J:J)</f>
        <v>78502.377250000049</v>
      </c>
    </row>
    <row r="27" spans="2:3" x14ac:dyDescent="0.35">
      <c r="B27" s="5" t="s">
        <v>44</v>
      </c>
      <c r="C27" s="5" t="s">
        <v>9</v>
      </c>
    </row>
    <row r="28" spans="2:3" x14ac:dyDescent="0.35">
      <c r="B28" t="s">
        <v>45</v>
      </c>
      <c r="C28" s="3">
        <f>SUMIFS(Raw_Data!$J:$J,Raw_Data!$B:$B,"&gt;="&amp;DATE(2025,1,1),Raw_Data!$B:$B,"&lt;"&amp;EDATE(DATE(2025,1,1),1))</f>
        <v>2416363.3700000006</v>
      </c>
    </row>
    <row r="29" spans="2:3" x14ac:dyDescent="0.35">
      <c r="B29" t="s">
        <v>46</v>
      </c>
      <c r="C29" s="3">
        <f>SUMIFS(Raw_Data!$J:$J,Raw_Data!$B:$B,"&gt;="&amp;DATE(2025,2,1),Raw_Data!$B:$B,"&lt;"&amp;EDATE(DATE(2025,2,1),1))</f>
        <v>2594511.7500000005</v>
      </c>
    </row>
    <row r="30" spans="2:3" x14ac:dyDescent="0.35">
      <c r="B30" t="s">
        <v>47</v>
      </c>
      <c r="C30" s="3">
        <f>SUMIFS(Raw_Data!$J:$J,Raw_Data!$B:$B,"&gt;="&amp;DATE(2025,3,1),Raw_Data!$B:$B,"&lt;"&amp;EDATE(DATE(2025,3,1),1))</f>
        <v>3040190.1199999992</v>
      </c>
    </row>
    <row r="31" spans="2:3" x14ac:dyDescent="0.35">
      <c r="B31" t="s">
        <v>48</v>
      </c>
      <c r="C31" s="3">
        <f>SUMIFS(Raw_Data!$J:$J,Raw_Data!$B:$B,"&gt;="&amp;DATE(2025,4,1),Raw_Data!$B:$B,"&lt;"&amp;EDATE(DATE(2025,4,1),1))</f>
        <v>3522156.6599999997</v>
      </c>
    </row>
    <row r="32" spans="2:3" x14ac:dyDescent="0.35">
      <c r="B32" t="s">
        <v>49</v>
      </c>
      <c r="C32" s="3">
        <f>SUMIFS(Raw_Data!$J:$J,Raw_Data!$B:$B,"&gt;="&amp;DATE(2025,5,1),Raw_Data!$B:$B,"&lt;"&amp;EDATE(DATE(2025,5,1),1))</f>
        <v>1721383.1500000001</v>
      </c>
    </row>
    <row r="33" spans="2:3" x14ac:dyDescent="0.35">
      <c r="B33" t="s">
        <v>50</v>
      </c>
      <c r="C33" s="3">
        <f>SUMIFS(Raw_Data!$J:$J,Raw_Data!$B:$B,"&gt;="&amp;DATE(2025,6,1),Raw_Data!$B:$B,"&lt;"&amp;EDATE(DATE(2025,6,1),1))</f>
        <v>2391905.0700000003</v>
      </c>
    </row>
    <row r="34" spans="2:3" x14ac:dyDescent="0.35">
      <c r="B34" t="s">
        <v>51</v>
      </c>
      <c r="C34" s="3">
        <f>SUMIFS(Raw_Data!$J:$J,Raw_Data!$B:$B,"&gt;="&amp;DATE(2025,7,1),Raw_Data!$B:$B,"&lt;"&amp;EDATE(DATE(2025,7,1),1))</f>
        <v>2026784.5599999998</v>
      </c>
    </row>
    <row r="35" spans="2:3" x14ac:dyDescent="0.35">
      <c r="B35" t="s">
        <v>52</v>
      </c>
      <c r="C35" s="3">
        <f>SUMIFS(Raw_Data!$J:$J,Raw_Data!$B:$B,"&gt;="&amp;DATE(2025,8,1),Raw_Data!$B:$B,"&lt;"&amp;EDATE(DATE(2025,8,1),1))</f>
        <v>4094533.24</v>
      </c>
    </row>
    <row r="36" spans="2:3" x14ac:dyDescent="0.35">
      <c r="B36" t="s">
        <v>53</v>
      </c>
      <c r="C36" s="3">
        <f>SUMIFS(Raw_Data!$J:$J,Raw_Data!$B:$B,"&gt;="&amp;DATE(2025,9,1),Raw_Data!$B:$B,"&lt;"&amp;EDATE(DATE(2025,9,1),1))</f>
        <v>1223899.1800000002</v>
      </c>
    </row>
    <row r="37" spans="2:3" x14ac:dyDescent="0.35">
      <c r="B37" t="s">
        <v>54</v>
      </c>
      <c r="C37" s="3">
        <f>SUMIFS(Raw_Data!$J:$J,Raw_Data!$B:$B,"&gt;="&amp;DATE(2025,10,1),Raw_Data!$B:$B,"&lt;"&amp;EDATE(DATE(2025,10,1),1))</f>
        <v>3013759.2199999997</v>
      </c>
    </row>
    <row r="38" spans="2:3" x14ac:dyDescent="0.35">
      <c r="B38" t="s">
        <v>55</v>
      </c>
      <c r="C38" s="3">
        <f>SUMIFS(Raw_Data!$J:$J,Raw_Data!$B:$B,"&gt;="&amp;DATE(2025,11,1),Raw_Data!$B:$B,"&lt;"&amp;EDATE(DATE(2025,11,1),1))</f>
        <v>2009199.7799999998</v>
      </c>
    </row>
    <row r="39" spans="2:3" x14ac:dyDescent="0.35">
      <c r="B39" t="s">
        <v>56</v>
      </c>
      <c r="C39" s="3">
        <f>SUMIFS(Raw_Data!$J:$J,Raw_Data!$B:$B,"&gt;="&amp;DATE(2025,12,1),Raw_Data!$B:$B,"&lt;"&amp;EDATE(DATE(2025,12,1),1))</f>
        <v>3346264.8000000003</v>
      </c>
    </row>
  </sheetData>
  <mergeCells count="1">
    <mergeCell ref="B2:H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Lookup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FORTUNE 360</cp:lastModifiedBy>
  <dcterms:created xsi:type="dcterms:W3CDTF">2026-08-13T13:22:40Z</dcterms:created>
  <dcterms:modified xsi:type="dcterms:W3CDTF">2026-08-13T19:07:18Z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4b609ed73bac454b9f6f3dfb5b2993a4_22</vt:lpwstr>
  </property>
</Properties>
</file>